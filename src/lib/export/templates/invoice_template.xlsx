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月末" sheetId="1" state="visible" r:id="rId1"/>
  </sheets>
  <definedNames>
    <definedName name="_xlnm.Print_Area" localSheetId="0">'月末'!$A$1:$BH$49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mmmm\ d\,\ yyyy;@"/>
    <numFmt numFmtId="165" formatCode="#,##0_ "/>
    <numFmt numFmtId="166" formatCode="&quot;¥&quot;#,##0;&quot;¥&quot;\-#,##0"/>
  </numFmts>
  <fonts count="66"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sz val="6"/>
      <scheme val="minor"/>
    </font>
    <font>
      <name val="Arial"/>
      <family val="2"/>
      <sz val="8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3"/>
      <color theme="0"/>
      <sz val="10"/>
      <scheme val="minor"/>
    </font>
    <font>
      <name val="HGP明朝E"/>
      <charset val="128"/>
      <family val="1"/>
      <color theme="1"/>
      <sz val="11"/>
    </font>
    <font>
      <name val="Meiryo UI"/>
      <charset val="128"/>
      <family val="3"/>
      <sz val="10"/>
    </font>
    <font>
      <name val="Meiryo UI"/>
      <charset val="128"/>
      <family val="3"/>
      <color theme="3" tint="-0.249977111117893"/>
      <sz val="10"/>
    </font>
    <font>
      <name val="Meiryo UI"/>
      <charset val="128"/>
      <family val="3"/>
      <color theme="1"/>
      <sz val="10"/>
    </font>
    <font>
      <name val="Meiryo UI"/>
      <charset val="128"/>
      <family val="3"/>
      <b val="1"/>
      <color theme="3" tint="-0.249977111117893"/>
      <sz val="12"/>
    </font>
    <font>
      <name val="Meiryo UI"/>
      <charset val="128"/>
      <family val="3"/>
      <color theme="1"/>
      <sz val="11"/>
    </font>
    <font>
      <name val="Meiryo UI"/>
      <charset val="128"/>
      <family val="3"/>
      <color theme="1"/>
      <sz val="12"/>
    </font>
    <font>
      <name val="Meiryo UI"/>
      <charset val="128"/>
      <family val="3"/>
      <color theme="3" tint="-0.249977111117893"/>
      <sz val="12"/>
    </font>
    <font>
      <name val="Meiryo UI"/>
      <charset val="128"/>
      <family val="3"/>
      <color theme="3" tint="-0.249977111117893"/>
      <sz val="9"/>
    </font>
    <font>
      <name val="HGP明朝E"/>
      <charset val="128"/>
      <family val="1"/>
      <b val="1"/>
      <color theme="4"/>
      <sz val="16"/>
    </font>
    <font>
      <name val="HGS教科書体"/>
      <charset val="128"/>
      <family val="1"/>
      <color theme="1"/>
      <sz val="11"/>
    </font>
    <font>
      <name val="HGS明朝E"/>
      <charset val="128"/>
      <family val="1"/>
      <color theme="1"/>
      <sz val="11"/>
    </font>
    <font>
      <name val="HGP明朝E"/>
      <charset val="128"/>
      <family val="1"/>
      <color theme="3"/>
      <sz val="10"/>
    </font>
    <font>
      <name val="Meiryo UI"/>
      <charset val="128"/>
      <family val="3"/>
      <color theme="3"/>
      <sz val="9"/>
    </font>
    <font>
      <name val="HGP明朝E"/>
      <charset val="128"/>
      <family val="1"/>
      <color theme="3"/>
      <sz val="11"/>
    </font>
    <font>
      <name val="Meiryo UI"/>
      <charset val="128"/>
      <family val="3"/>
      <color theme="3"/>
      <sz val="10"/>
    </font>
    <font>
      <name val="Meiryo UI"/>
      <charset val="128"/>
      <family val="3"/>
      <color theme="3"/>
      <sz val="11"/>
    </font>
    <font>
      <name val="ＭＳ Ｐゴシック"/>
      <charset val="128"/>
      <family val="2"/>
      <color theme="1"/>
      <sz val="11"/>
      <scheme val="minor"/>
    </font>
    <font>
      <name val="HGP明朝E"/>
      <charset val="128"/>
      <family val="1"/>
      <sz val="10"/>
    </font>
    <font>
      <name val="HGP明朝E"/>
      <charset val="128"/>
      <family val="1"/>
      <color theme="4"/>
      <sz val="10"/>
    </font>
    <font>
      <name val="Meiryo UI"/>
      <charset val="128"/>
      <family val="3"/>
      <sz val="10"/>
    </font>
    <font>
      <name val="Meiryo UI"/>
      <charset val="128"/>
      <family val="3"/>
      <color theme="1"/>
      <sz val="10"/>
    </font>
    <font>
      <name val="Meiryo UI"/>
      <family val="2"/>
      <sz val="10"/>
    </font>
    <font>
      <name val="Meiryo UI"/>
      <charset val="128"/>
      <family val="3"/>
      <color theme="4"/>
      <sz val="10"/>
    </font>
    <font>
      <name val="Meiryo UI"/>
      <charset val="128"/>
      <family val="3"/>
      <color theme="3" tint="-0.249977111117893"/>
      <sz val="10"/>
    </font>
    <font>
      <name val="ＭＳ ゴシック"/>
      <charset val="128"/>
      <family val="3"/>
      <color theme="3" tint="-0.249977111117893"/>
      <sz val="14"/>
    </font>
    <font>
      <name val="ＭＳ Ｐゴシック"/>
      <charset val="128"/>
      <family val="3"/>
      <color theme="3" tint="-0.249977111117893"/>
      <sz val="12"/>
    </font>
    <font>
      <name val="ＭＳ Ｐゴシック"/>
      <charset val="128"/>
      <family val="2"/>
      <color theme="1"/>
      <sz val="10"/>
      <scheme val="minor"/>
    </font>
    <font>
      <name val="ＭＳ Ｐゴシック"/>
      <charset val="128"/>
      <family val="3"/>
      <b val="1"/>
      <color theme="3" tint="-0.249977111117893"/>
      <sz val="12"/>
    </font>
    <font>
      <name val="Meiryo UI"/>
      <family val="2"/>
      <sz val="8"/>
    </font>
    <font>
      <name val="Meiryo UI"/>
      <charset val="128"/>
      <family val="3"/>
      <color theme="3" tint="-0.249977111117893"/>
      <sz val="9"/>
    </font>
    <font>
      <name val="ＭＳ Ｐゴシック"/>
      <charset val="128"/>
      <family val="2"/>
      <b val="1"/>
      <color theme="1"/>
      <sz val="11"/>
      <scheme val="minor"/>
    </font>
    <font>
      <name val="ＭＳ Ｐゴシック"/>
      <charset val="128"/>
      <family val="3"/>
      <b val="1"/>
      <color theme="1"/>
      <sz val="11"/>
      <scheme val="major"/>
    </font>
    <font>
      <name val="HGP明朝E"/>
      <charset val="128"/>
      <family val="1"/>
      <color theme="3" tint="-0.249977111117893"/>
      <sz val="10"/>
    </font>
    <font>
      <name val="ＭＳ Ｐゴシック"/>
      <charset val="128"/>
      <family val="2"/>
      <color theme="1"/>
      <sz val="9"/>
      <scheme val="minor"/>
    </font>
    <font>
      <name val="Meiryo UI"/>
      <charset val="128"/>
      <family val="3"/>
      <color theme="1"/>
      <sz val="9"/>
    </font>
    <font>
      <name val="HGS教科書体"/>
      <charset val="128"/>
      <family val="1"/>
      <b val="1"/>
      <color theme="3" tint="-0.249977111117893"/>
      <sz val="11"/>
    </font>
    <font>
      <name val="ＭＳ Ｐゴシック"/>
      <charset val="128"/>
      <family val="3"/>
      <b val="1"/>
      <color theme="3" tint="-0.249977111117893"/>
      <sz val="11"/>
      <scheme val="major"/>
    </font>
    <font>
      <name val="HGP教科書体"/>
      <charset val="128"/>
      <family val="1"/>
      <b val="1"/>
      <color theme="1"/>
      <sz val="11"/>
    </font>
    <font>
      <name val="Meiryo UI"/>
      <family val="2"/>
      <color theme="3" tint="-0.249977111117893"/>
      <sz val="8"/>
    </font>
    <font>
      <name val="ＭＳ Ｐゴシック"/>
      <charset val="128"/>
      <family val="2"/>
      <color theme="1"/>
      <sz val="11"/>
      <scheme val="minor"/>
    </font>
    <font>
      <name val="Meiryo UI"/>
      <charset val="128"/>
      <family val="3"/>
      <sz val="10"/>
    </font>
    <font>
      <name val="Meiryo UI"/>
      <charset val="128"/>
      <family val="3"/>
      <color theme="3" tint="-0.249977111117893"/>
      <sz val="10"/>
    </font>
    <font>
      <name val="Meiryo UI"/>
      <charset val="128"/>
      <family val="3"/>
      <color theme="1"/>
      <sz val="10"/>
    </font>
    <font>
      <name val="ＭＳ Ｐゴシック"/>
      <charset val="128"/>
      <family val="3"/>
      <color theme="0"/>
      <sz val="10"/>
      <scheme val="minor"/>
    </font>
    <font>
      <name val="ＭＳ Ｐゴシック"/>
      <charset val="128"/>
      <family val="3"/>
      <color theme="3" tint="-0.249977111117893"/>
      <sz val="8"/>
    </font>
    <font>
      <name val="Meiryo UI"/>
      <charset val="128"/>
      <family val="3"/>
      <color theme="3" tint="-0.249977111117893"/>
      <sz val="14"/>
    </font>
    <font>
      <name val="Meiryo UI"/>
      <charset val="128"/>
      <family val="3"/>
      <color theme="3" tint="-0.249977111117893"/>
      <sz val="12"/>
    </font>
    <font>
      <name val="Meiryo UI"/>
      <charset val="128"/>
      <family val="3"/>
      <b val="1"/>
      <color theme="3" tint="-0.249977111117893"/>
      <sz val="10"/>
    </font>
    <font>
      <name val="HGS明朝E"/>
      <charset val="128"/>
      <family val="1"/>
      <sz val="9"/>
    </font>
    <font>
      <name val="ＭＳ Ｐゴシック"/>
      <charset val="128"/>
      <family val="2"/>
      <color theme="1"/>
      <sz val="11"/>
      <scheme val="minor"/>
    </font>
    <font>
      <name val="HGP明朝E"/>
      <charset val="128"/>
      <family val="1"/>
      <color theme="3"/>
      <sz val="10"/>
    </font>
    <font>
      <name val="ＭＳ Ｐゴシック"/>
      <charset val="128"/>
      <family val="2"/>
      <color theme="3"/>
      <sz val="11"/>
      <scheme val="minor"/>
    </font>
    <font>
      <name val="HGP明朝E"/>
      <charset val="128"/>
      <family val="1"/>
      <sz val="10"/>
    </font>
    <font>
      <name val="HGP明朝E"/>
      <charset val="128"/>
      <family val="1"/>
      <color theme="1"/>
      <sz val="10"/>
    </font>
    <font>
      <name val="Meiryo UI"/>
      <charset val="128"/>
      <family val="3"/>
      <color theme="3"/>
      <sz val="10"/>
    </font>
    <font>
      <name val="HGP明朝E"/>
      <charset val="128"/>
      <family val="1"/>
      <b val="1"/>
      <color theme="3" tint="-0.249977111117893"/>
      <sz val="10"/>
    </font>
    <font>
      <name val="HGP明朝E"/>
      <charset val="128"/>
      <family val="1"/>
      <color theme="3" tint="-0.249977111117893"/>
      <sz val="10"/>
    </font>
    <font>
      <name val="Meiryo UI"/>
      <charset val="128"/>
      <family val="3"/>
      <sz val="8"/>
    </font>
    <font>
      <name val="Meiryo UI"/>
      <charset val="128"/>
      <family val="3"/>
      <b val="1"/>
      <color theme="3"/>
      <sz val="10"/>
    </font>
    <font>
      <name val="HGP明朝E"/>
      <charset val="128"/>
      <family val="1"/>
      <color theme="3"/>
      <sz val="9"/>
    </font>
  </fonts>
  <fills count="6">
    <fill>
      <patternFill/>
    </fill>
    <fill>
      <patternFill patternType="gray125"/>
    </fill>
    <fill>
      <gradientFill type="linear" degree="90">
        <stop position="0">
          <color theme="4" tint="0.4000061037018952"/>
        </stop>
        <stop position="1">
          <color theme="4" tint="-0.2509842219306009"/>
        </stop>
      </gradient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DEBF7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55" fillId="0" borderId="0" applyAlignment="1">
      <alignment vertical="center"/>
    </xf>
    <xf numFmtId="38" fontId="55" fillId="0" borderId="0" applyAlignment="1">
      <alignment vertical="center"/>
    </xf>
  </cellStyleXfs>
  <cellXfs count="187">
    <xf numFmtId="0" fontId="0" fillId="0" borderId="0" applyAlignment="1" pivotButton="0" quotePrefix="0" xfId="0">
      <alignment vertical="center"/>
    </xf>
    <xf numFmtId="0" fontId="6" fillId="0" borderId="0" pivotButton="0" quotePrefix="0" xfId="0"/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vertical="center"/>
    </xf>
    <xf numFmtId="0" fontId="23" fillId="0" borderId="0" pivotButton="0" quotePrefix="0" xfId="0"/>
    <xf numFmtId="0" fontId="24" fillId="0" borderId="0" applyAlignment="1" pivotButton="0" quotePrefix="0" xfId="0">
      <alignment horizontal="left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0" fontId="25" fillId="0" borderId="0" pivotButton="0" quotePrefix="0" xfId="0"/>
    <xf numFmtId="0" fontId="27" fillId="0" borderId="0" pivotButton="0" quotePrefix="0" xfId="0"/>
    <xf numFmtId="0" fontId="28" fillId="0" borderId="0" applyAlignment="1" pivotButton="0" quotePrefix="0" xfId="0">
      <alignment horizontal="left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right" vertical="center"/>
    </xf>
    <xf numFmtId="0" fontId="33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164" fontId="31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vertical="center"/>
    </xf>
    <xf numFmtId="0" fontId="38" fillId="0" borderId="0" pivotButton="0" quotePrefix="0" xfId="0"/>
    <xf numFmtId="0" fontId="38" fillId="0" borderId="0" applyAlignment="1" pivotButton="0" quotePrefix="0" xfId="0">
      <alignment horizontal="left"/>
    </xf>
    <xf numFmtId="0" fontId="30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right" vertical="center"/>
    </xf>
    <xf numFmtId="0" fontId="29" fillId="0" borderId="0" pivotButton="0" quotePrefix="0" xfId="0"/>
    <xf numFmtId="0" fontId="29" fillId="0" borderId="0" applyAlignment="1" pivotButton="0" quotePrefix="0" xfId="0">
      <alignment horizontal="left"/>
    </xf>
    <xf numFmtId="0" fontId="29" fillId="0" borderId="0" applyAlignment="1" pivotButton="0" quotePrefix="0" xfId="0">
      <alignment vertical="center"/>
    </xf>
    <xf numFmtId="0" fontId="3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44" fillId="0" borderId="0" pivotButton="0" quotePrefix="0" xfId="0"/>
    <xf numFmtId="164" fontId="47" fillId="0" borderId="0" applyAlignment="1" pivotButton="0" quotePrefix="0" xfId="0">
      <alignment horizontal="left" vertical="center"/>
    </xf>
    <xf numFmtId="0" fontId="49" fillId="2" borderId="0" applyAlignment="1" pivotButton="0" quotePrefix="0" xfId="0">
      <alignment horizontal="center" vertical="center"/>
    </xf>
    <xf numFmtId="0" fontId="55" fillId="0" borderId="0" applyAlignment="1" pivotButton="0" quotePrefix="0" xfId="0">
      <alignment vertical="center"/>
    </xf>
    <xf numFmtId="0" fontId="56" fillId="0" borderId="0" applyAlignment="1" pivotButton="0" quotePrefix="0" xfId="0">
      <alignment vertical="center"/>
    </xf>
    <xf numFmtId="0" fontId="58" fillId="0" borderId="0" pivotButton="0" quotePrefix="0" xfId="0"/>
    <xf numFmtId="0" fontId="57" fillId="0" borderId="0" applyAlignment="1" pivotButton="0" quotePrefix="0" xfId="0">
      <alignment vertical="center"/>
    </xf>
    <xf numFmtId="0" fontId="62" fillId="0" borderId="0" applyAlignment="1" pivotButton="0" quotePrefix="0" xfId="0">
      <alignment horizontal="left"/>
    </xf>
    <xf numFmtId="0" fontId="60" fillId="0" borderId="0" applyAlignment="1" pivotButton="0" quotePrefix="0" xfId="0">
      <alignment vertical="center"/>
    </xf>
    <xf numFmtId="0" fontId="62" fillId="0" borderId="0" applyAlignment="1" pivotButton="0" quotePrefix="0" xfId="0">
      <alignment horizontal="left" wrapText="1" indent="1"/>
    </xf>
    <xf numFmtId="0" fontId="61" fillId="0" borderId="0" pivotButton="0" quotePrefix="0" xfId="0"/>
    <xf numFmtId="0" fontId="61" fillId="0" borderId="0" applyAlignment="1" pivotButton="0" quotePrefix="0" xfId="0">
      <alignment horizontal="left"/>
    </xf>
    <xf numFmtId="0" fontId="62" fillId="0" borderId="0" applyAlignment="1" pivotButton="0" quotePrefix="0" xfId="0">
      <alignment vertical="center"/>
    </xf>
    <xf numFmtId="0" fontId="59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right" vertical="center"/>
    </xf>
    <xf numFmtId="0" fontId="63" fillId="0" borderId="0" pivotButton="0" quotePrefix="0" xfId="0"/>
    <xf numFmtId="0" fontId="64" fillId="0" borderId="0" applyAlignment="1" pivotButton="0" quotePrefix="0" xfId="0">
      <alignment vertical="center"/>
    </xf>
    <xf numFmtId="165" fontId="20" fillId="3" borderId="0" applyAlignment="1" pivotButton="0" quotePrefix="0" xfId="0">
      <alignment horizontal="center" vertical="center"/>
    </xf>
    <xf numFmtId="38" fontId="9" fillId="4" borderId="0" applyAlignment="1" pivotButton="0" quotePrefix="0" xfId="1">
      <alignment horizontal="right" vertical="center"/>
    </xf>
    <xf numFmtId="0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165" fontId="20" fillId="3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50" fillId="3" borderId="0" applyAlignment="1" pivotButton="0" quotePrefix="0" xfId="0">
      <alignment horizontal="left" vertical="center"/>
    </xf>
    <xf numFmtId="0" fontId="51" fillId="3" borderId="0" applyAlignment="1" pivotButton="0" quotePrefix="0" xfId="0">
      <alignment horizontal="center" vertical="center"/>
    </xf>
    <xf numFmtId="38" fontId="52" fillId="3" borderId="0" applyAlignment="1" pivotButton="0" quotePrefix="0" xfId="1">
      <alignment horizontal="left" vertical="center"/>
    </xf>
    <xf numFmtId="38" fontId="52" fillId="3" borderId="0" applyAlignment="1" pivotButton="0" quotePrefix="0" xfId="1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5" fontId="7" fillId="3" borderId="0" applyAlignment="1" pivotButton="0" quotePrefix="0" xfId="0">
      <alignment horizontal="center" vertical="center"/>
    </xf>
    <xf numFmtId="164" fontId="35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8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vertical="center"/>
    </xf>
    <xf numFmtId="38" fontId="53" fillId="3" borderId="0" applyAlignment="1" pivotButton="0" quotePrefix="0" xfId="1">
      <alignment vertical="center"/>
    </xf>
    <xf numFmtId="38" fontId="47" fillId="4" borderId="0" applyAlignment="1" pivotButton="0" quotePrefix="0" xfId="1">
      <alignment horizontal="right" vertical="center"/>
    </xf>
    <xf numFmtId="0" fontId="0" fillId="0" borderId="0" applyAlignment="1" pivotButton="0" quotePrefix="0" xfId="0">
      <alignment horizontal="right" vertical="center"/>
    </xf>
    <xf numFmtId="0" fontId="55" fillId="0" borderId="0" applyAlignment="1" pivotButton="0" quotePrefix="0" xfId="0">
      <alignment horizontal="center" vertical="center"/>
    </xf>
    <xf numFmtId="0" fontId="45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8" fontId="53" fillId="3" borderId="0" applyAlignment="1" pivotButton="0" quotePrefix="0" xfId="1">
      <alignment horizontal="right" vertical="center"/>
    </xf>
    <xf numFmtId="0" fontId="47" fillId="0" borderId="0" applyAlignment="1" pivotButton="0" quotePrefix="0" xfId="0">
      <alignment vertical="center"/>
    </xf>
    <xf numFmtId="0" fontId="46" fillId="0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center" vertical="center"/>
    </xf>
    <xf numFmtId="166" fontId="47" fillId="4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left" vertical="center"/>
    </xf>
    <xf numFmtId="165" fontId="47" fillId="3" borderId="0" applyAlignment="1" pivotButton="0" quotePrefix="0" xfId="0">
      <alignment horizontal="left" vertical="center"/>
    </xf>
    <xf numFmtId="56" fontId="46" fillId="0" borderId="0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165" fontId="13" fillId="4" borderId="0" applyAlignment="1" pivotButton="0" quotePrefix="0" xfId="0">
      <alignment horizontal="left" vertical="center"/>
    </xf>
    <xf numFmtId="165" fontId="35" fillId="4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56" fontId="47" fillId="3" borderId="0" applyAlignment="1" pivotButton="0" quotePrefix="0" xfId="0">
      <alignment horizontal="center" vertical="center"/>
    </xf>
    <xf numFmtId="0" fontId="47" fillId="3" borderId="0" applyAlignment="1" pivotButton="0" quotePrefix="0" xfId="0">
      <alignment horizontal="center" vertical="center"/>
    </xf>
    <xf numFmtId="165" fontId="13" fillId="3" borderId="0" applyAlignment="1" pivotButton="0" quotePrefix="0" xfId="0">
      <alignment horizontal="center" vertical="center"/>
    </xf>
    <xf numFmtId="165" fontId="47" fillId="3" borderId="0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48" fillId="3" borderId="10" applyAlignment="1" pivotButton="0" quotePrefix="0" xfId="0">
      <alignment horizontal="center" vertical="center"/>
    </xf>
    <xf numFmtId="0" fontId="48" fillId="0" borderId="10" applyAlignment="1" pivotButton="0" quotePrefix="0" xfId="0">
      <alignment horizontal="center" vertical="center"/>
    </xf>
    <xf numFmtId="164" fontId="47" fillId="0" borderId="0" applyAlignment="1" pivotButton="0" quotePrefix="0" xfId="0">
      <alignment horizontal="left" vertical="center"/>
    </xf>
    <xf numFmtId="0" fontId="45" fillId="0" borderId="0" applyAlignment="1" pivotButton="0" quotePrefix="0" xfId="0">
      <alignment vertical="center"/>
    </xf>
    <xf numFmtId="38" fontId="47" fillId="4" borderId="7" applyAlignment="1" pivotButton="0" quotePrefix="0" xfId="1">
      <alignment horizontal="right" vertical="center"/>
    </xf>
    <xf numFmtId="56" fontId="47" fillId="3" borderId="1" applyAlignment="1" pivotButton="0" quotePrefix="0" xfId="0">
      <alignment horizontal="center" vertical="center"/>
    </xf>
    <xf numFmtId="56" fontId="47" fillId="3" borderId="2" applyAlignment="1" pivotButton="0" quotePrefix="0" xfId="0">
      <alignment horizontal="center" vertical="center"/>
    </xf>
    <xf numFmtId="56" fontId="47" fillId="3" borderId="3" applyAlignment="1" pivotButton="0" quotePrefix="0" xfId="0">
      <alignment horizontal="center" vertical="center"/>
    </xf>
    <xf numFmtId="56" fontId="47" fillId="3" borderId="4" applyAlignment="1" pivotButton="0" quotePrefix="0" xfId="0">
      <alignment horizontal="center" vertical="center"/>
    </xf>
    <xf numFmtId="56" fontId="47" fillId="3" borderId="5" applyAlignment="1" pivotButton="0" quotePrefix="0" xfId="0">
      <alignment horizontal="center" vertical="center"/>
    </xf>
    <xf numFmtId="56" fontId="47" fillId="3" borderId="6" applyAlignment="1" pivotButton="0" quotePrefix="0" xfId="0">
      <alignment horizontal="center" vertical="center"/>
    </xf>
    <xf numFmtId="56" fontId="47" fillId="3" borderId="7" applyAlignment="1" pivotButton="0" quotePrefix="0" xfId="0">
      <alignment horizontal="center" vertical="center"/>
    </xf>
    <xf numFmtId="56" fontId="47" fillId="3" borderId="8" applyAlignment="1" pivotButton="0" quotePrefix="0" xfId="0">
      <alignment horizontal="center" vertical="center"/>
    </xf>
    <xf numFmtId="0" fontId="45" fillId="3" borderId="9" applyAlignment="1" pivotButton="0" quotePrefix="0" xfId="0">
      <alignment vertical="center"/>
    </xf>
    <xf numFmtId="0" fontId="45" fillId="3" borderId="10" applyAlignment="1" pivotButton="0" quotePrefix="0" xfId="0">
      <alignment vertical="center"/>
    </xf>
    <xf numFmtId="38" fontId="53" fillId="3" borderId="10" applyAlignment="1" pivotButton="0" quotePrefix="0" xfId="1">
      <alignment vertical="center"/>
    </xf>
    <xf numFmtId="38" fontId="53" fillId="3" borderId="10" applyAlignment="1" pivotButton="0" quotePrefix="0" xfId="1">
      <alignment horizontal="right" vertical="center"/>
    </xf>
    <xf numFmtId="0" fontId="0" fillId="0" borderId="1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12" fontId="3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9" fillId="2" borderId="0" applyAlignment="1" pivotButton="0" quotePrefix="0" xfId="0">
      <alignment horizontal="center" vertical="center"/>
    </xf>
    <xf numFmtId="9" fontId="7" fillId="3" borderId="9" applyAlignment="1" pivotButton="0" quotePrefix="0" xfId="0">
      <alignment horizontal="center" vertical="center"/>
    </xf>
    <xf numFmtId="9" fontId="7" fillId="3" borderId="10" applyAlignment="1" pivotButton="0" quotePrefix="0" xfId="0">
      <alignment horizontal="center" vertical="center"/>
    </xf>
    <xf numFmtId="9" fontId="7" fillId="3" borderId="11" applyAlignment="1" pivotButton="0" quotePrefix="0" xfId="0">
      <alignment horizontal="center" vertical="center"/>
    </xf>
    <xf numFmtId="38" fontId="48" fillId="5" borderId="9" applyAlignment="1" pivotButton="0" quotePrefix="0" xfId="1">
      <alignment horizontal="center" vertical="center"/>
    </xf>
    <xf numFmtId="38" fontId="48" fillId="5" borderId="10" applyAlignment="1" pivotButton="0" quotePrefix="0" xfId="1">
      <alignment horizontal="center" vertical="center"/>
    </xf>
    <xf numFmtId="38" fontId="48" fillId="5" borderId="11" applyAlignment="1" pivotButton="0" quotePrefix="0" xfId="1">
      <alignment horizontal="center" vertical="center"/>
    </xf>
    <xf numFmtId="0" fontId="0" fillId="0" borderId="0" pivotButton="0" quotePrefix="0" xfId="0"/>
    <xf numFmtId="165" fontId="20" fillId="3" borderId="0" applyAlignment="1" pivotButton="0" quotePrefix="0" xfId="0">
      <alignment horizontal="center" vertical="center"/>
    </xf>
    <xf numFmtId="165" fontId="18" fillId="3" borderId="0" applyAlignment="1" pivotButton="0" quotePrefix="0" xfId="0">
      <alignment horizontal="center" vertical="center"/>
    </xf>
    <xf numFmtId="164" fontId="30" fillId="0" borderId="0" applyAlignment="1" pivotButton="0" quotePrefix="0" xfId="0">
      <alignment horizontal="left" vertical="center"/>
    </xf>
    <xf numFmtId="164" fontId="31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horizontal="left" vertical="center"/>
    </xf>
    <xf numFmtId="165" fontId="7" fillId="3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left" vertical="center"/>
    </xf>
    <xf numFmtId="165" fontId="13" fillId="4" borderId="0" applyAlignment="1" pivotButton="0" quotePrefix="0" xfId="0">
      <alignment horizontal="left" vertical="center"/>
    </xf>
    <xf numFmtId="166" fontId="7" fillId="4" borderId="0" applyAlignment="1" pivotButton="0" quotePrefix="0" xfId="0">
      <alignment horizontal="center" vertical="center"/>
    </xf>
    <xf numFmtId="166" fontId="47" fillId="4" borderId="0" applyAlignment="1" pivotButton="0" quotePrefix="0" xfId="0">
      <alignment horizontal="center" vertical="center"/>
    </xf>
    <xf numFmtId="165" fontId="13" fillId="3" borderId="0" applyAlignment="1" pivotButton="0" quotePrefix="0" xfId="0">
      <alignment horizontal="center" vertical="center"/>
    </xf>
    <xf numFmtId="165" fontId="35" fillId="4" borderId="0" applyAlignment="1" pivotButton="0" quotePrefix="0" xfId="0">
      <alignment horizontal="left" vertical="center"/>
    </xf>
    <xf numFmtId="164" fontId="47" fillId="0" borderId="0" applyAlignment="1" pivotButton="0" quotePrefix="0" xfId="0">
      <alignment horizontal="left" vertical="center"/>
    </xf>
    <xf numFmtId="0" fontId="0" fillId="0" borderId="7" pivotButton="0" quotePrefix="0" xfId="0"/>
    <xf numFmtId="56" fontId="47" fillId="3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10" pivotButton="0" quotePrefix="0" xfId="0"/>
    <xf numFmtId="38" fontId="53" fillId="3" borderId="11" applyAlignment="1" pivotButton="0" quotePrefix="0" xfId="1">
      <alignment horizontal="right" vertical="center"/>
    </xf>
    <xf numFmtId="0" fontId="0" fillId="0" borderId="11" pivotButton="0" quotePrefix="0" xfId="0"/>
    <xf numFmtId="0" fontId="0" fillId="0" borderId="4" pivotButton="0" quotePrefix="0" xfId="0"/>
    <xf numFmtId="0" fontId="0" fillId="0" borderId="5" pivotButton="0" quotePrefix="0" xfId="0"/>
    <xf numFmtId="9" fontId="7" fillId="3" borderId="12" applyAlignment="1" pivotButton="0" quotePrefix="0" xfId="0">
      <alignment horizontal="center" vertical="center"/>
    </xf>
    <xf numFmtId="38" fontId="48" fillId="5" borderId="12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8" pivotButton="0" quotePrefix="0" xfId="0"/>
  </cellXfs>
  <cellStyles count="2">
    <cellStyle name="標準" xfId="0" builtinId="0"/>
    <cellStyle name="桁区切り" xfId="1" builtinId="6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J73"/>
  <sheetViews>
    <sheetView tabSelected="1" workbookViewId="0">
      <selection activeCell="W5" sqref="W5"/>
    </sheetView>
  </sheetViews>
  <sheetFormatPr baseColWidth="8" defaultColWidth="1.5" defaultRowHeight="17.45" customHeight="1"/>
  <cols>
    <col width="1.625" customWidth="1" style="54" min="1" max="12"/>
    <col width="1.5" customWidth="1" style="54" min="13" max="25"/>
    <col width="1.5" customWidth="1" style="54" min="26" max="26"/>
    <col width="0.125" customWidth="1" style="54" min="27" max="27"/>
    <col width="1.125" customWidth="1" style="54" min="28" max="28"/>
    <col width="1.5" customWidth="1" style="54" min="29" max="29"/>
    <col width="1" customWidth="1" style="54" min="30" max="30"/>
    <col width="1.625" customWidth="1" style="54" min="31" max="31"/>
    <col width="1.375" customWidth="1" style="54" min="32" max="32"/>
    <col width="1.625" customWidth="1" style="54" min="33" max="45"/>
    <col width="2.75" customWidth="1" style="54" min="46" max="46"/>
    <col width="1.625" customWidth="1" style="54" min="47" max="60"/>
    <col width="1.5" customWidth="1" style="54" min="61" max="95"/>
    <col width="1.375" customWidth="1" style="54" min="96" max="96"/>
    <col width="1.5" customWidth="1" style="54" min="97" max="16384"/>
  </cols>
  <sheetData>
    <row r="1" ht="20.1" customFormat="1" customHeight="1" s="70">
      <c r="A1" s="145" t="n"/>
      <c r="BJ1" s="75" t="inlineStr">
        <is>
          <t>NOー３</t>
        </is>
      </c>
      <c r="BP1" s="9" t="n"/>
      <c r="BQ1" s="9" t="n"/>
      <c r="BR1" s="75" t="inlineStr">
        <is>
          <t>いちい</t>
        </is>
      </c>
      <c r="BX1" s="75" t="inlineStr">
        <is>
          <t>月末締め</t>
        </is>
      </c>
      <c r="CD1" s="77" t="inlineStr">
        <is>
          <t>オペレーター工事修理</t>
        </is>
      </c>
      <c r="CO1" s="79" t="inlineStr">
        <is>
          <t>オペレーター工事</t>
        </is>
      </c>
      <c r="CZ1" s="79" t="inlineStr">
        <is>
          <t>部品売り＋送料</t>
        </is>
      </c>
      <c r="DT1" s="9" t="n"/>
      <c r="DU1" s="9" t="n"/>
      <c r="DV1" s="9" t="n"/>
      <c r="DW1" s="9" t="n"/>
      <c r="DX1" s="9" t="n"/>
      <c r="DY1" s="9" t="n"/>
      <c r="DZ1" s="9" t="n"/>
      <c r="EA1" s="9" t="n"/>
      <c r="EB1" s="9" t="n"/>
      <c r="EC1" s="9" t="n"/>
      <c r="ED1" s="9" t="n"/>
      <c r="EE1" s="9" t="n"/>
      <c r="EF1" s="9" t="n"/>
      <c r="EG1" s="9" t="n"/>
      <c r="EH1" s="9" t="n"/>
      <c r="EI1" s="9" t="n"/>
      <c r="EJ1" s="9" t="n"/>
    </row>
    <row r="2" ht="16.5" customHeight="1" s="158">
      <c r="A2" s="146" t="inlineStr">
        <is>
          <t xml:space="preserve">　　　　　         請求書</t>
        </is>
      </c>
      <c r="BH2" s="150" t="n"/>
      <c r="BI2" s="93" t="n"/>
      <c r="CK2" s="81" t="n"/>
      <c r="DI2" s="82" t="n"/>
    </row>
    <row r="3" ht="16.5" customHeight="1" s="158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  <c r="AA3" s="15" t="n"/>
      <c r="AB3" s="15" t="n"/>
      <c r="AC3" s="15" t="n"/>
      <c r="AD3" s="15" t="n"/>
      <c r="AE3" s="15" t="n"/>
      <c r="AF3" s="15" t="n"/>
      <c r="AG3" s="15" t="n"/>
      <c r="AH3" s="15" t="n"/>
      <c r="AI3" s="15" t="n"/>
      <c r="AJ3" s="15" t="n"/>
      <c r="AK3" s="15" t="n"/>
      <c r="AL3" s="15" t="n"/>
      <c r="AM3" s="15" t="n"/>
      <c r="AN3" s="15" t="n"/>
      <c r="AO3" s="15" t="n"/>
      <c r="AP3" s="15" t="n"/>
      <c r="AQ3" s="15" t="n"/>
      <c r="AR3" s="15" t="n"/>
      <c r="AS3" s="15" t="n"/>
      <c r="AT3" s="15" t="n"/>
      <c r="AU3" s="15" t="n"/>
      <c r="AV3" s="15" t="n"/>
      <c r="AW3" s="15" t="n"/>
      <c r="AX3" s="15" t="n"/>
      <c r="AY3" s="15" t="n"/>
      <c r="AZ3" s="15" t="n"/>
      <c r="BA3" s="15" t="n"/>
      <c r="BB3" s="15" t="n"/>
      <c r="BC3" s="15" t="n"/>
      <c r="BD3" s="15" t="n"/>
      <c r="BE3" s="15" t="n"/>
      <c r="BF3" s="15" t="n"/>
      <c r="BG3" s="15" t="n"/>
      <c r="BH3" s="150" t="n"/>
      <c r="BI3" s="93" t="n"/>
      <c r="BJ3" s="81" t="n"/>
      <c r="BV3" s="93" t="n"/>
      <c r="BW3" s="159" t="n"/>
      <c r="CC3" s="159" t="n"/>
      <c r="CK3" s="13" t="n"/>
      <c r="CL3" s="81" t="n"/>
      <c r="DA3" s="13" t="n"/>
      <c r="DB3" s="160" t="n"/>
      <c r="DH3" s="93" t="n"/>
      <c r="DL3" s="73" t="n"/>
    </row>
    <row r="4" ht="16.5" customHeight="1" s="158">
      <c r="A4" s="15" t="n"/>
      <c r="B4" s="15" t="n"/>
      <c r="C4" s="17" t="n"/>
      <c r="D4" s="22" t="n"/>
      <c r="E4" s="22" t="n"/>
      <c r="F4" s="23" t="n"/>
      <c r="G4" s="23" t="n"/>
      <c r="H4" s="23" t="n"/>
      <c r="I4" s="100" t="inlineStr">
        <is>
          <t>〒</t>
        </is>
      </c>
      <c r="AA4" s="20" t="n"/>
      <c r="AB4" s="20" t="n"/>
      <c r="AC4" s="20" t="n"/>
      <c r="AD4" s="20" t="n"/>
      <c r="AE4" s="20" t="n"/>
      <c r="AF4" s="20" t="n"/>
      <c r="AG4" s="21" t="n"/>
      <c r="AH4" s="24" t="n"/>
      <c r="AI4" s="25" t="n"/>
      <c r="AJ4" s="23" t="n"/>
      <c r="AK4" s="23" t="n"/>
      <c r="AL4" s="23" t="n"/>
      <c r="AM4" s="23" t="n"/>
      <c r="AN4" s="23" t="n"/>
      <c r="AO4" s="23" t="n"/>
      <c r="AP4" s="23" t="n"/>
      <c r="AQ4" s="23" t="n"/>
      <c r="AR4" s="23" t="n"/>
      <c r="AS4" s="23" t="n"/>
      <c r="AT4" s="23" t="n"/>
      <c r="AU4" s="23" t="n"/>
      <c r="AV4" s="23" t="n"/>
      <c r="AW4" s="23" t="n"/>
      <c r="AX4" s="23" t="n"/>
      <c r="AY4" s="23" t="n"/>
      <c r="AZ4" s="149" t="n"/>
      <c r="BC4" s="15" t="n"/>
      <c r="BD4" s="23" t="n"/>
      <c r="BE4" s="26" t="n"/>
      <c r="BF4" s="15" t="n"/>
      <c r="BG4" s="15" t="n"/>
      <c r="BH4" s="150" t="n"/>
      <c r="BI4" s="93" t="n"/>
      <c r="BJ4" s="79" t="n"/>
      <c r="CK4" s="13" t="n"/>
      <c r="CL4" s="81" t="n"/>
      <c r="DH4" s="93" t="n"/>
      <c r="DL4" s="73" t="n"/>
    </row>
    <row r="5" ht="16.5" customHeight="1" s="158">
      <c r="A5" s="15" t="n"/>
      <c r="B5" s="15" t="n"/>
      <c r="C5" s="16" t="n"/>
      <c r="D5" s="18" t="n"/>
      <c r="E5" s="18" t="n"/>
      <c r="F5" s="18" t="n"/>
      <c r="G5" s="18" t="n"/>
      <c r="H5" s="18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9" t="n"/>
      <c r="AB5" s="19" t="n"/>
      <c r="AC5" s="19" t="n"/>
      <c r="AD5" s="19" t="n"/>
      <c r="AE5" s="19" t="n"/>
      <c r="AF5" s="19" t="n"/>
      <c r="AG5" s="27" t="n"/>
      <c r="AH5" s="27" t="n"/>
      <c r="AI5" s="27" t="n"/>
      <c r="AJ5" s="20" t="n"/>
      <c r="AK5" s="20" t="n"/>
      <c r="AL5" s="147" t="inlineStr">
        <is>
          <t>令和</t>
        </is>
      </c>
      <c r="AO5" s="148" t="n">
        <v>8</v>
      </c>
      <c r="AR5" s="147" t="inlineStr">
        <is>
          <t>年</t>
        </is>
      </c>
      <c r="AT5" s="148" t="n"/>
      <c r="AW5" s="147" t="inlineStr">
        <is>
          <t>月</t>
        </is>
      </c>
      <c r="AY5" s="148" t="n">
        <v>31</v>
      </c>
      <c r="BB5" s="147" t="inlineStr">
        <is>
          <t>日</t>
        </is>
      </c>
      <c r="BD5" s="19" t="n"/>
      <c r="BE5" s="28" t="n"/>
      <c r="BF5" s="15" t="n"/>
      <c r="BG5" s="15" t="n"/>
      <c r="BH5" s="150" t="n"/>
      <c r="BI5" s="93" t="n"/>
      <c r="BJ5" s="79" t="n"/>
      <c r="CK5" s="13" t="n"/>
      <c r="CL5" s="81" t="n"/>
      <c r="DH5" s="93" t="n"/>
      <c r="DI5" s="93" t="n"/>
      <c r="DL5" s="73" t="n"/>
      <c r="EI5" s="159" t="n"/>
      <c r="EO5" s="159" t="n"/>
      <c r="EU5" s="159" t="n"/>
      <c r="FA5" s="159" t="n"/>
    </row>
    <row r="6" ht="16.5" customHeight="1" s="158">
      <c r="A6" s="15" t="n"/>
      <c r="B6" s="15" t="n"/>
      <c r="C6" s="16" t="n"/>
      <c r="D6" s="18" t="n"/>
      <c r="E6" s="18" t="n"/>
      <c r="F6" s="18" t="n"/>
      <c r="G6" s="18" t="n"/>
      <c r="H6" s="18" t="n"/>
      <c r="I6" s="83" t="n"/>
      <c r="AH6" s="161" t="n"/>
      <c r="AI6" s="162" t="n"/>
      <c r="AJ6" s="163" t="n"/>
      <c r="AK6" s="163" t="n"/>
      <c r="AL6" s="164" t="inlineStr">
        <is>
          <t>T5180001057001</t>
        </is>
      </c>
      <c r="BF6" s="15" t="n"/>
      <c r="BG6" s="15" t="n"/>
      <c r="BH6" s="150" t="n"/>
      <c r="BI6" s="93" t="n"/>
      <c r="BJ6" s="79" t="n"/>
      <c r="CD6" s="13" t="n"/>
      <c r="CE6" s="13" t="n"/>
      <c r="CF6" s="13" t="n"/>
      <c r="CG6" s="13" t="n"/>
      <c r="CH6" s="13" t="n"/>
      <c r="CI6" s="13" t="n"/>
      <c r="CJ6" s="82" t="n"/>
      <c r="CK6" s="82" t="n"/>
      <c r="DJ6" s="13" t="n"/>
      <c r="DK6" s="93" t="n"/>
      <c r="DL6" s="73" t="n"/>
      <c r="EI6" s="159" t="n"/>
      <c r="EO6" s="159" t="n"/>
      <c r="EU6" s="159" t="n"/>
      <c r="FA6" s="159" t="n"/>
    </row>
    <row r="7" ht="16.5" customHeight="1" s="158">
      <c r="A7" s="15" t="n"/>
      <c r="B7" s="15" t="n"/>
      <c r="C7" s="35" t="n"/>
      <c r="D7" s="18" t="n"/>
      <c r="E7" s="18" t="n"/>
      <c r="F7" s="18" t="n"/>
      <c r="G7" s="18" t="n"/>
      <c r="H7" s="18" t="n"/>
      <c r="I7" s="72" t="n"/>
      <c r="J7" s="72" t="n"/>
      <c r="K7" s="72" t="n"/>
      <c r="L7" s="72" t="n"/>
      <c r="M7" s="72" t="n"/>
      <c r="N7" s="72" t="n"/>
      <c r="O7" s="72" t="n"/>
      <c r="P7" s="72" t="n"/>
      <c r="Q7" s="72" t="n"/>
      <c r="R7" s="72" t="n"/>
      <c r="S7" s="72" t="n"/>
      <c r="T7" s="72" t="n"/>
      <c r="U7" s="72" t="n"/>
      <c r="V7" s="72" t="n"/>
      <c r="W7" s="29" t="n"/>
      <c r="X7" s="29" t="n"/>
      <c r="Y7" s="29" t="n"/>
      <c r="Z7" s="29" t="n"/>
      <c r="AA7" s="29" t="n"/>
      <c r="AB7" s="29" t="n"/>
      <c r="AC7" s="19" t="n"/>
      <c r="AD7" s="19" t="n"/>
      <c r="AE7" s="19" t="n"/>
      <c r="AF7" s="20" t="n"/>
      <c r="AG7" s="27" t="n"/>
      <c r="AH7" s="36" t="n"/>
      <c r="AI7" s="25" t="n"/>
      <c r="AJ7" s="23" t="n"/>
      <c r="AK7" s="23" t="n"/>
      <c r="AL7" s="165" t="inlineStr">
        <is>
          <t>中部システム工業株式会社</t>
        </is>
      </c>
      <c r="AY7" s="37" t="n"/>
      <c r="AZ7" s="37" t="n"/>
      <c r="BA7" s="37" t="n"/>
      <c r="BB7" s="37" t="n"/>
      <c r="BC7" s="37" t="n"/>
      <c r="BD7" s="19" t="n"/>
      <c r="BE7" s="33" t="n"/>
      <c r="BF7" s="15" t="n"/>
      <c r="BG7" s="15" t="n"/>
      <c r="BH7" s="150" t="n"/>
      <c r="BI7" s="93" t="n"/>
      <c r="BJ7" s="92" t="n"/>
      <c r="BT7" s="93" t="n"/>
      <c r="BU7" s="159" t="n"/>
      <c r="CA7" s="93" t="n"/>
      <c r="CB7" s="166" t="n"/>
      <c r="CJ7" s="79" t="n"/>
      <c r="CK7" s="93" t="n"/>
      <c r="CL7" s="81" t="n"/>
      <c r="CY7" s="13" t="n"/>
      <c r="CZ7" s="13" t="n"/>
      <c r="DA7" s="13" t="n"/>
      <c r="DB7" s="13" t="n"/>
      <c r="DC7" s="13" t="n"/>
      <c r="DD7" s="13" t="n"/>
      <c r="DE7" s="13" t="n"/>
      <c r="DF7" s="13" t="n"/>
      <c r="DG7" s="13" t="n"/>
      <c r="DH7" s="82" t="n"/>
      <c r="DI7" s="81" t="n"/>
      <c r="DJ7" s="81" t="n"/>
      <c r="DK7" s="81" t="n"/>
      <c r="DL7" s="81" t="n"/>
      <c r="DM7" s="13" t="n"/>
      <c r="DN7" s="13" t="n"/>
      <c r="DO7" s="13" t="n"/>
      <c r="DP7" s="67" t="n"/>
      <c r="DQ7" s="67" t="n"/>
      <c r="DR7" s="67" t="n"/>
      <c r="DS7" s="67" t="n"/>
      <c r="DT7" s="82" t="n"/>
      <c r="DU7" s="82" t="n"/>
      <c r="DV7" s="82" t="n"/>
      <c r="DW7" s="82" t="n"/>
      <c r="DX7" s="82" t="n"/>
      <c r="DY7" s="82" t="n"/>
      <c r="DZ7" s="82" t="n"/>
      <c r="EA7" s="82" t="n"/>
      <c r="EB7" s="82" t="n"/>
      <c r="EC7" s="82" t="n"/>
      <c r="ED7" s="82" t="n"/>
      <c r="EE7" s="82" t="n"/>
      <c r="EF7" s="82" t="n"/>
      <c r="EG7" s="82" t="n"/>
      <c r="EH7" s="82" t="n"/>
      <c r="EI7" s="82" t="n"/>
      <c r="EJ7" s="82" t="n"/>
      <c r="EK7" s="82" t="n"/>
    </row>
    <row r="8" ht="16.5" customHeight="1" s="158">
      <c r="A8" s="15" t="n"/>
      <c r="B8" s="15" t="n"/>
      <c r="C8" s="35" t="n"/>
      <c r="D8" s="18" t="n"/>
      <c r="E8" s="18" t="n"/>
      <c r="F8" s="18" t="n"/>
      <c r="G8" s="18" t="n"/>
      <c r="H8" s="18" t="n"/>
      <c r="I8" s="96" t="inlineStr">
        <is>
          <t xml:space="preserve">                                    御中</t>
        </is>
      </c>
      <c r="AB8" s="29" t="n"/>
      <c r="AC8" s="20" t="n"/>
      <c r="AD8" s="20" t="n"/>
      <c r="AE8" s="20" t="n"/>
      <c r="AF8" s="20" t="n"/>
      <c r="AG8" s="27" t="n"/>
      <c r="AH8" s="25" t="n"/>
      <c r="AI8" s="25" t="n"/>
      <c r="AJ8" s="23" t="n"/>
      <c r="AK8" s="23" t="n"/>
      <c r="AL8" s="97" t="inlineStr">
        <is>
          <t>〒４５４－０９８１</t>
        </is>
      </c>
      <c r="AW8" s="97" t="n"/>
      <c r="AX8" s="97" t="n"/>
      <c r="AY8" s="97" t="n"/>
      <c r="AZ8" s="97" t="n"/>
      <c r="BA8" s="97" t="n"/>
      <c r="BB8" s="39" t="n"/>
      <c r="BC8" s="39" t="n"/>
      <c r="BD8" s="29" t="n"/>
      <c r="BE8" s="40" t="n"/>
      <c r="BF8" s="15" t="n"/>
      <c r="BG8" s="15" t="n"/>
      <c r="BH8" s="150" t="n"/>
      <c r="BI8" s="93" t="n"/>
      <c r="BJ8" s="83" t="n"/>
      <c r="CJ8" s="93" t="n"/>
      <c r="CK8" s="93" t="n"/>
      <c r="CL8" s="81" t="n"/>
      <c r="DG8" s="13" t="n"/>
      <c r="DH8" s="159" t="n"/>
      <c r="DN8" s="159" t="n"/>
      <c r="DT8" s="82" t="n"/>
      <c r="DU8" s="82" t="n"/>
      <c r="DV8" s="82" t="n"/>
      <c r="DW8" s="82" t="n"/>
      <c r="DX8" s="82" t="n"/>
      <c r="DY8" s="82" t="n"/>
      <c r="DZ8" s="82" t="n"/>
      <c r="EA8" s="82" t="n"/>
      <c r="EB8" s="82" t="n"/>
      <c r="EC8" s="82" t="n"/>
      <c r="ED8" s="82" t="n"/>
      <c r="EE8" s="82" t="n"/>
      <c r="EF8" s="82" t="n"/>
      <c r="EG8" s="82" t="n"/>
      <c r="EH8" s="82" t="n"/>
      <c r="EI8" s="82" t="n"/>
      <c r="EJ8" s="82" t="n"/>
      <c r="EK8" s="82" t="n"/>
    </row>
    <row r="9" ht="16.5" customHeight="1" s="158">
      <c r="A9" s="15" t="n"/>
      <c r="B9" s="15" t="n"/>
      <c r="C9" s="34" t="n"/>
      <c r="D9" s="42" t="n"/>
      <c r="E9" s="43" t="n"/>
      <c r="F9" s="44" t="n"/>
      <c r="G9" s="44" t="n"/>
      <c r="H9" s="44" t="n"/>
      <c r="I9" s="83" t="n"/>
      <c r="AB9" s="20" t="n"/>
      <c r="AC9" s="20" t="n"/>
      <c r="AD9" s="20" t="n"/>
      <c r="AE9" s="20" t="n"/>
      <c r="AF9" s="20" t="n"/>
      <c r="AG9" s="27" t="n"/>
      <c r="AH9" s="25" t="n"/>
      <c r="AI9" s="45" t="n"/>
      <c r="AJ9" s="23" t="n"/>
      <c r="AK9" s="23" t="n"/>
      <c r="AL9" s="97" t="inlineStr">
        <is>
          <t>名古屋市中川区吉津１丁目２１０９</t>
        </is>
      </c>
      <c r="BD9" s="41" t="n"/>
      <c r="BE9" s="46" t="n"/>
      <c r="BF9" s="15" t="n"/>
      <c r="BG9" s="15" t="n"/>
      <c r="BH9" s="150" t="n"/>
      <c r="BI9" s="93" t="n"/>
      <c r="BJ9" s="164" t="n"/>
      <c r="CJ9" s="93" t="n"/>
      <c r="CK9" s="93" t="n"/>
      <c r="CL9" s="81" t="n"/>
      <c r="DH9" s="159" t="n"/>
      <c r="DN9" s="13" t="n"/>
      <c r="DO9" s="13" t="n"/>
      <c r="DP9" s="67" t="n"/>
      <c r="DQ9" s="67" t="n"/>
      <c r="DR9" s="67" t="n"/>
      <c r="DS9" s="67" t="n"/>
      <c r="DT9" s="82" t="n"/>
      <c r="DU9" s="82" t="n"/>
      <c r="DV9" s="82" t="n"/>
      <c r="DW9" s="82" t="n"/>
      <c r="DX9" s="82" t="n"/>
      <c r="DY9" s="82" t="n"/>
      <c r="DZ9" s="82" t="n"/>
      <c r="EA9" s="82" t="n"/>
      <c r="EB9" s="82" t="n"/>
      <c r="EC9" s="82" t="n"/>
      <c r="ED9" s="82" t="n"/>
      <c r="EE9" s="82" t="n"/>
      <c r="EF9" s="82" t="n"/>
      <c r="EG9" s="82" t="n"/>
      <c r="EH9" s="82" t="n"/>
      <c r="EI9" s="82" t="n"/>
      <c r="EJ9" s="55" t="n"/>
    </row>
    <row r="10" ht="16.5" customHeight="1" s="158">
      <c r="A10" s="15" t="n"/>
      <c r="B10" s="15" t="n"/>
      <c r="C10" s="34" t="n"/>
      <c r="D10" s="42" t="n"/>
      <c r="E10" s="43" t="n"/>
      <c r="F10" s="44" t="n"/>
      <c r="G10" s="44" t="n"/>
      <c r="H10" s="44" t="n"/>
      <c r="I10" s="44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7" t="n"/>
      <c r="AH10" s="25" t="n"/>
      <c r="AI10" s="45" t="n"/>
      <c r="AJ10" s="23" t="n"/>
      <c r="AK10" s="23" t="n"/>
      <c r="AL10" s="97" t="inlineStr">
        <is>
          <t>アクティブ名古屋西アントレE号</t>
        </is>
      </c>
      <c r="AZ10" s="97" t="n"/>
      <c r="BA10" s="97" t="n"/>
      <c r="BB10" s="37" t="n"/>
      <c r="BC10" s="37" t="n"/>
      <c r="BD10" s="41" t="n"/>
      <c r="BE10" s="46" t="n"/>
      <c r="BF10" s="15" t="n"/>
      <c r="BG10" s="15" t="n"/>
      <c r="BH10" s="150" t="n"/>
      <c r="BI10" s="93" t="n"/>
      <c r="BJ10" s="81" t="n"/>
      <c r="CE10" s="93" t="n"/>
      <c r="CF10" s="93" t="n"/>
      <c r="CG10" s="93" t="n"/>
      <c r="CH10" s="93" t="n"/>
      <c r="CI10" s="93" t="n"/>
      <c r="CJ10" s="82" t="n"/>
      <c r="CK10" s="82" t="n"/>
      <c r="CR10" s="13" t="n"/>
      <c r="CS10" s="82" t="n"/>
      <c r="CT10" s="82" t="n"/>
      <c r="CU10" s="82" t="n"/>
      <c r="CV10" s="82" t="n"/>
      <c r="CW10" s="82" t="n"/>
      <c r="CX10" s="82" t="n"/>
      <c r="CY10" s="13" t="n"/>
      <c r="DF10" s="13" t="n"/>
      <c r="DM10" s="12" t="n"/>
      <c r="DN10" s="82" t="n"/>
      <c r="DO10" s="82" t="n"/>
      <c r="DP10" s="82" t="n"/>
      <c r="DQ10" s="82" t="n"/>
      <c r="DR10" s="82" t="n"/>
      <c r="DS10" s="82" t="n"/>
      <c r="DT10" s="93" t="n"/>
      <c r="DU10" s="82" t="n"/>
      <c r="DV10" s="82" t="n"/>
      <c r="DW10" s="82" t="n"/>
      <c r="DX10" s="82" t="n"/>
      <c r="DY10" s="82" t="n"/>
      <c r="DZ10" s="82" t="n"/>
      <c r="EA10" s="82" t="n"/>
      <c r="EB10" s="82" t="n"/>
      <c r="EC10" s="82" t="n"/>
      <c r="ED10" s="82" t="n"/>
      <c r="EE10" s="82" t="n"/>
      <c r="EF10" s="82" t="n"/>
      <c r="EG10" s="82" t="n"/>
      <c r="EH10" s="82" t="n"/>
      <c r="EI10" s="82" t="n"/>
      <c r="EJ10" s="55" t="n"/>
    </row>
    <row r="11" ht="16.5" customHeight="1" s="158">
      <c r="A11" s="15" t="n"/>
      <c r="B11" s="15" t="n"/>
      <c r="C11" s="35" t="n"/>
      <c r="D11" s="34" t="n"/>
      <c r="E11" s="35" t="n"/>
      <c r="F11" s="47" t="n"/>
      <c r="G11" s="47" t="n"/>
      <c r="H11" s="47" t="n"/>
      <c r="I11" s="47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27" t="n"/>
      <c r="AH11" s="25" t="n"/>
      <c r="AI11" s="27" t="n"/>
      <c r="AJ11" s="23" t="n"/>
      <c r="AK11" s="23" t="n"/>
      <c r="AL11" s="97" t="inlineStr">
        <is>
          <t>ＴＥＬ　０５２－４１４－４５８０</t>
        </is>
      </c>
      <c r="BD11" s="19" t="n"/>
      <c r="BE11" s="48" t="n"/>
      <c r="BF11" s="15" t="n"/>
      <c r="BG11" s="15" t="n"/>
      <c r="BH11" s="150" t="n"/>
      <c r="BI11" s="93" t="n"/>
      <c r="BV11" s="159" t="n"/>
      <c r="CB11" s="159" t="n"/>
      <c r="CI11" s="93" t="n"/>
      <c r="CJ11" s="82" t="n"/>
      <c r="CK11" s="82" t="n"/>
      <c r="CL11" s="81" t="n"/>
      <c r="DA11" s="159" t="n"/>
      <c r="DG11" s="82" t="n"/>
      <c r="DH11" s="82" t="n"/>
      <c r="EH11" s="82" t="n"/>
      <c r="EI11" s="82" t="n"/>
      <c r="EJ11" s="55" t="n"/>
    </row>
    <row r="12" ht="15" customHeight="1" s="158">
      <c r="A12" s="15" t="n"/>
      <c r="B12" s="15" t="n"/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16" t="n"/>
      <c r="AA12" s="16" t="n"/>
      <c r="AB12" s="16" t="n"/>
      <c r="AC12" s="16" t="n"/>
      <c r="AD12" s="16" t="n"/>
      <c r="AE12" s="16" t="n"/>
      <c r="AF12" s="16" t="n"/>
      <c r="AG12" s="27" t="n"/>
      <c r="AH12" s="25" t="n"/>
      <c r="AI12" s="25" t="n"/>
      <c r="AJ12" s="23" t="n"/>
      <c r="AK12" s="23" t="n"/>
      <c r="AL12" s="97" t="inlineStr">
        <is>
          <t>ＦＡＸ　０５２－４１４－４５８１</t>
        </is>
      </c>
      <c r="BD12" s="19" t="n"/>
      <c r="BE12" s="48" t="n"/>
      <c r="BF12" s="28" t="n"/>
      <c r="BG12" s="15" t="n"/>
      <c r="BH12" s="150" t="n"/>
      <c r="BI12" s="93" t="n"/>
      <c r="BJ12" s="81" t="n"/>
      <c r="BV12" s="159" t="n"/>
      <c r="CB12" s="159" t="n"/>
      <c r="CI12" s="93" t="n"/>
      <c r="CJ12" s="82" t="n"/>
      <c r="CK12" s="82" t="n"/>
      <c r="CL12" s="84" t="n"/>
      <c r="EH12" s="82" t="n"/>
      <c r="EI12" s="82" t="n"/>
      <c r="EJ12" s="55" t="n"/>
    </row>
    <row r="13" ht="13.5" customHeight="1" s="158">
      <c r="A13" s="27" t="n"/>
      <c r="B13" s="51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49" t="n"/>
      <c r="AB13" s="49" t="n"/>
      <c r="AC13" s="49" t="n"/>
      <c r="AD13" s="49" t="n"/>
      <c r="AE13" s="49" t="n"/>
      <c r="AF13" s="49" t="n"/>
      <c r="AG13" s="50" t="n"/>
      <c r="AH13" s="25" t="n"/>
      <c r="AI13" s="25" t="n"/>
      <c r="AJ13" s="23" t="n"/>
      <c r="AK13" s="23" t="n"/>
      <c r="AL13" s="150" t="inlineStr">
        <is>
          <t>E-mail ：c.system.@circus.ocn.ne.jp</t>
        </is>
      </c>
      <c r="BG13" s="15" t="n"/>
      <c r="BH13" s="150" t="n"/>
      <c r="BI13" s="93" t="n"/>
      <c r="BJ13" s="84" t="n"/>
      <c r="CB13" s="159" t="n"/>
      <c r="CI13" s="82" t="n"/>
      <c r="CJ13" s="82" t="n"/>
      <c r="CK13" s="82" t="n"/>
      <c r="CL13" s="84" t="n"/>
      <c r="EH13" s="82" t="n"/>
      <c r="EI13" s="82" t="n"/>
      <c r="EJ13" s="55" t="n"/>
    </row>
    <row r="14" ht="17.45" customHeight="1" s="158">
      <c r="A14" s="15" t="n"/>
      <c r="B14" s="15" t="n"/>
      <c r="C14" s="97" t="inlineStr">
        <is>
          <t xml:space="preserve">   下記の通りご請求申し上げます。</t>
        </is>
      </c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n"/>
      <c r="BF14" s="15" t="n"/>
      <c r="BG14" s="15" t="n"/>
      <c r="BH14" s="6" t="n"/>
      <c r="BI14" s="93" t="n"/>
      <c r="BJ14" s="84" t="n"/>
      <c r="BZ14" s="93" t="n"/>
      <c r="CA14" s="93" t="n"/>
      <c r="CB14" s="93" t="n"/>
      <c r="CC14" s="93" t="n"/>
      <c r="CD14" s="93" t="n"/>
      <c r="CE14" s="93" t="n"/>
      <c r="CF14" s="93" t="n"/>
      <c r="CG14" s="93" t="n"/>
      <c r="CH14" s="93" t="n"/>
      <c r="CI14" s="93" t="n"/>
      <c r="CJ14" s="93" t="n"/>
      <c r="CK14" s="93" t="n"/>
      <c r="CL14" s="93" t="n"/>
      <c r="CM14" s="93" t="n"/>
      <c r="CN14" s="93" t="n"/>
      <c r="CO14" s="93" t="n"/>
      <c r="CP14" s="93" t="n"/>
      <c r="CQ14" s="93" t="n"/>
      <c r="CR14" s="93" t="n"/>
      <c r="CS14" s="93" t="n"/>
      <c r="CT14" s="93" t="n"/>
      <c r="CU14" s="93" t="n"/>
      <c r="CV14" s="93" t="n"/>
      <c r="CW14" s="93" t="n"/>
      <c r="CX14" s="93" t="n"/>
      <c r="CY14" s="93" t="n"/>
      <c r="CZ14" s="93" t="n"/>
      <c r="DA14" s="93" t="n"/>
      <c r="DB14" s="93" t="n"/>
      <c r="DC14" s="93" t="n"/>
      <c r="DD14" s="93" t="n"/>
      <c r="DE14" s="93" t="n"/>
      <c r="DF14" s="93" t="n"/>
      <c r="DG14" s="93" t="n"/>
      <c r="DH14" s="93" t="n"/>
      <c r="DI14" s="93" t="n"/>
      <c r="DJ14" s="93" t="n"/>
      <c r="DK14" s="93" t="n"/>
      <c r="DL14" s="93" t="n"/>
      <c r="DM14" s="93" t="n"/>
      <c r="DN14" s="93" t="n"/>
      <c r="DO14" s="93" t="n"/>
      <c r="DP14" s="82" t="n"/>
      <c r="DQ14" s="82" t="n"/>
      <c r="DR14" s="82" t="n"/>
      <c r="DS14" s="82" t="n"/>
      <c r="DT14" s="82" t="n"/>
      <c r="DU14" s="82" t="n"/>
      <c r="DV14" s="82" t="n"/>
      <c r="DW14" s="82" t="n"/>
      <c r="DX14" s="82" t="n"/>
      <c r="DY14" s="82" t="n"/>
      <c r="DZ14" s="82" t="n"/>
      <c r="EA14" s="82" t="n"/>
      <c r="EB14" s="82" t="n"/>
      <c r="EC14" s="82" t="n"/>
      <c r="ED14" s="82" t="n"/>
      <c r="EE14" s="82" t="n"/>
      <c r="EF14" s="82" t="n"/>
      <c r="EG14" s="82" t="n"/>
      <c r="EH14" s="82" t="n"/>
      <c r="EI14" s="82" t="n"/>
    </row>
    <row r="15" ht="13.5" customHeight="1" s="158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5" t="n"/>
      <c r="BB15" s="15" t="n"/>
      <c r="BC15" s="15" t="n"/>
      <c r="BD15" s="15" t="n"/>
      <c r="BE15" s="15" t="n"/>
      <c r="BF15" s="15" t="n"/>
      <c r="BG15" s="15" t="n"/>
      <c r="BH15" s="6" t="n"/>
      <c r="CF15" s="93" t="n"/>
      <c r="CG15" s="93" t="n"/>
      <c r="CH15" s="93" t="n"/>
      <c r="CI15" s="93" t="n"/>
      <c r="CJ15" s="93" t="n"/>
      <c r="CK15" s="93" t="n"/>
      <c r="CL15" s="81" t="n"/>
      <c r="DB15" s="159" t="n"/>
    </row>
    <row r="16" ht="13.5" customHeight="1" s="158">
      <c r="A16" s="151" t="inlineStr">
        <is>
          <t>先月残高</t>
        </is>
      </c>
      <c r="L16" s="151" t="inlineStr">
        <is>
          <t>当月入金額</t>
        </is>
      </c>
      <c r="W16" s="151" t="inlineStr">
        <is>
          <t>繰越残高</t>
        </is>
      </c>
      <c r="AH16" s="151" t="n"/>
      <c r="AI16" s="151" t="inlineStr">
        <is>
          <t>当月ご請求金額</t>
        </is>
      </c>
      <c r="AT16" s="151" t="n"/>
      <c r="AU16" s="151" t="inlineStr">
        <is>
          <t>差引合計金額</t>
        </is>
      </c>
      <c r="BH16" s="150" t="n"/>
      <c r="BJ16" s="81" t="n"/>
      <c r="BV16" s="159" t="n"/>
      <c r="CB16" s="93" t="n"/>
      <c r="CC16" s="93" t="n"/>
      <c r="CD16" s="93" t="n"/>
      <c r="CF16" s="93" t="n"/>
      <c r="CG16" s="93" t="n"/>
      <c r="CH16" s="93" t="n"/>
      <c r="CI16" s="93" t="n"/>
      <c r="CJ16" s="93" t="n"/>
      <c r="CK16" s="93" t="n"/>
      <c r="CL16" s="81" t="n"/>
      <c r="DH16" s="80" t="n"/>
    </row>
    <row r="17" ht="17.45" customHeight="1" s="158">
      <c r="A17" s="87" t="n"/>
      <c r="L17" s="87" t="n"/>
      <c r="W17" s="87" t="n"/>
      <c r="AI17" s="88" t="inlineStr">
        <is>
          <t>￥</t>
        </is>
      </c>
      <c r="AK17" s="89">
        <f>AO42</f>
        <v/>
      </c>
      <c r="AT17" s="90" t="inlineStr">
        <is>
          <t>￥</t>
        </is>
      </c>
      <c r="AV17" s="89">
        <f>SUM(AK17:AU18)</f>
        <v/>
      </c>
      <c r="BH17" s="7" t="n"/>
      <c r="BJ17" s="86" t="n"/>
      <c r="CJ17" s="93" t="n"/>
      <c r="CK17" s="93" t="n"/>
      <c r="CL17" s="84" t="n"/>
      <c r="EU17" s="57" t="n"/>
    </row>
    <row r="18" ht="17.45" customHeight="1" s="158">
      <c r="BH18" s="8" t="n"/>
      <c r="BJ18" s="86" t="n"/>
      <c r="CE18" s="93" t="n"/>
      <c r="CF18" s="93" t="n"/>
      <c r="CG18" s="93" t="n"/>
      <c r="CH18" s="93" t="n"/>
      <c r="CI18" s="93" t="n"/>
      <c r="CJ18" s="93" t="n"/>
      <c r="CK18" s="93" t="n"/>
      <c r="CL18" s="93" t="n"/>
      <c r="CM18" s="93" t="n"/>
      <c r="CN18" s="93" t="n"/>
      <c r="CO18" s="93" t="n"/>
      <c r="CP18" s="93" t="n"/>
      <c r="CQ18" s="93" t="n"/>
      <c r="CR18" s="93" t="n"/>
      <c r="CS18" s="93" t="n"/>
      <c r="CT18" s="93" t="n"/>
      <c r="CU18" s="93" t="n"/>
      <c r="DH18" s="93" t="n"/>
      <c r="EJ18" s="93" t="n"/>
      <c r="ES18" s="55" t="n"/>
      <c r="ET18" s="57" t="n"/>
      <c r="EU18" s="57" t="n"/>
    </row>
    <row r="19" ht="17.45" customHeight="1" s="158">
      <c r="A19" s="107" t="inlineStr">
        <is>
          <t>納品月日</t>
        </is>
      </c>
      <c r="G19" s="107" t="inlineStr">
        <is>
          <t>御担当者</t>
        </is>
      </c>
      <c r="M19" s="107" t="inlineStr">
        <is>
          <t>工　　事　　名</t>
        </is>
      </c>
      <c r="AG19" s="107" t="inlineStr">
        <is>
          <t>数量</t>
        </is>
      </c>
      <c r="AK19" s="107" t="inlineStr">
        <is>
          <t>単位</t>
        </is>
      </c>
      <c r="AO19" s="107" t="inlineStr">
        <is>
          <t>合計</t>
        </is>
      </c>
      <c r="AU19" s="107" t="inlineStr">
        <is>
          <t>消費税</t>
        </is>
      </c>
      <c r="BA19" s="107" t="inlineStr">
        <is>
          <t>請求金額</t>
        </is>
      </c>
      <c r="BH19" s="5" t="n"/>
      <c r="CI19" s="93" t="n"/>
      <c r="CL19" s="100" t="n"/>
      <c r="DA19" s="150" t="n"/>
      <c r="DB19" s="150" t="n"/>
      <c r="DC19" s="150" t="n"/>
      <c r="DD19" s="166" t="n"/>
      <c r="DJ19" s="150" t="n"/>
    </row>
    <row r="20" ht="17.25" customHeight="1" s="158">
      <c r="A20" s="121" t="n"/>
      <c r="G20" s="166" t="n"/>
      <c r="M20" s="167" t="n"/>
      <c r="AG20" s="106" t="n"/>
      <c r="AK20" s="106" t="n"/>
      <c r="AO20" s="102" t="n"/>
      <c r="AU20" s="109" t="n"/>
      <c r="BA20" s="109" t="n"/>
      <c r="BH20" s="8" t="n"/>
      <c r="BJ20" s="81" t="n"/>
      <c r="BV20" s="93" t="n"/>
      <c r="BW20" s="159" t="n"/>
      <c r="CC20" s="93" t="n"/>
      <c r="CD20" s="159" t="n"/>
      <c r="CJ20" s="93" t="n"/>
      <c r="CK20" s="93" t="n"/>
      <c r="CL20" s="100" t="n"/>
    </row>
    <row r="21" ht="17.45" customHeight="1" s="158">
      <c r="A21" s="116" t="n"/>
      <c r="G21" s="117" t="n"/>
      <c r="M21" s="168" t="n"/>
      <c r="AG21" s="111" t="n">
        <v>1</v>
      </c>
      <c r="AK21" s="169" t="inlineStr">
        <is>
          <t>式</t>
        </is>
      </c>
      <c r="AO21" s="103" t="n"/>
      <c r="AU21" s="103">
        <f>AO21*0.1</f>
        <v/>
      </c>
      <c r="BA21" s="103">
        <f>AO21+AU21</f>
        <v/>
      </c>
      <c r="BH21" s="5" t="n"/>
      <c r="BJ21" s="81" t="n"/>
      <c r="CI21" s="93" t="n"/>
      <c r="CJ21" s="93" t="n"/>
      <c r="CK21" s="93" t="n"/>
      <c r="CL21" s="100" t="n"/>
      <c r="EI21" s="93" t="n"/>
      <c r="ET21" s="55" t="n"/>
      <c r="EU21" s="55" t="n"/>
      <c r="FH21" s="93" t="n"/>
      <c r="FI21" s="93" t="n"/>
      <c r="FJ21" s="93" t="n"/>
    </row>
    <row r="22" ht="17.45" customHeight="1" s="158">
      <c r="A22" s="121" t="n"/>
      <c r="G22" s="166" t="n"/>
      <c r="M22" s="167" t="n"/>
      <c r="AG22" s="106" t="n"/>
      <c r="AK22" s="106" t="n"/>
      <c r="AO22" s="102" t="n"/>
      <c r="AU22" s="109" t="n"/>
      <c r="BA22" s="109" t="n"/>
      <c r="BH22" s="8" t="n"/>
      <c r="BI22" s="93" t="n"/>
      <c r="BJ22" s="81" t="n"/>
      <c r="CF22" s="93" t="n"/>
      <c r="CG22" s="93" t="n"/>
      <c r="CH22" s="93" t="n"/>
      <c r="CI22" s="93" t="n"/>
      <c r="CJ22" s="93" t="n"/>
      <c r="CK22" s="93" t="n"/>
      <c r="ED22" s="93" t="n"/>
      <c r="EE22" s="93" t="n"/>
      <c r="EF22" s="93" t="n"/>
      <c r="EG22" s="93" t="n"/>
      <c r="EH22" s="93" t="n"/>
      <c r="EI22" s="93" t="n"/>
      <c r="ET22" s="55" t="n"/>
      <c r="EU22" s="55" t="n"/>
    </row>
    <row r="23" ht="17.45" customHeight="1" s="158">
      <c r="A23" s="116" t="n"/>
      <c r="G23" s="117" t="n"/>
      <c r="M23" s="168" t="n"/>
      <c r="AG23" s="111" t="n"/>
      <c r="AK23" s="170" t="n"/>
      <c r="AO23" s="103" t="n"/>
      <c r="AU23" s="103" t="n"/>
      <c r="BA23" s="103" t="n"/>
      <c r="BH23" s="5" t="n"/>
      <c r="CD23" s="93" t="n"/>
      <c r="CE23" s="93" t="n"/>
      <c r="CF23" s="93" t="n"/>
      <c r="CG23" s="93" t="n"/>
      <c r="CH23" s="93" t="n"/>
      <c r="CI23" s="93" t="n"/>
      <c r="CJ23" s="93" t="n"/>
      <c r="CK23" s="93" t="n"/>
      <c r="CL23" s="93" t="n"/>
      <c r="CM23" s="105" t="n"/>
      <c r="DI23" s="81" t="n"/>
      <c r="DU23" s="93" t="n"/>
      <c r="DV23" s="160" t="n"/>
      <c r="EB23" s="93" t="n"/>
      <c r="EC23" s="93" t="n"/>
      <c r="ED23" s="93" t="n"/>
      <c r="EE23" s="93" t="n"/>
      <c r="EF23" s="93" t="n"/>
      <c r="EG23" s="93" t="n"/>
      <c r="EH23" s="93" t="n"/>
      <c r="EI23" s="93" t="n"/>
      <c r="ES23" s="55" t="n"/>
      <c r="ET23" s="55" t="n"/>
      <c r="EU23" s="55" t="n"/>
    </row>
    <row r="24" ht="17.45" customHeight="1" s="158">
      <c r="A24" s="121" t="n"/>
      <c r="G24" s="171" t="n"/>
      <c r="M24" s="167" t="n"/>
      <c r="AG24" s="106" t="n"/>
      <c r="AK24" s="106" t="n"/>
      <c r="AO24" s="102" t="n"/>
      <c r="AU24" s="109" t="n"/>
      <c r="BA24" s="109" t="n"/>
      <c r="BH24" s="93" t="n"/>
      <c r="BJ24" s="100" t="n"/>
      <c r="BY24" s="159" t="n"/>
      <c r="CL24" s="93" t="n"/>
      <c r="CM24" s="84" t="n"/>
      <c r="CY24" s="101" t="n"/>
      <c r="CZ24" s="160" t="n"/>
      <c r="DF24" s="101" t="n"/>
      <c r="DG24" s="101" t="n"/>
      <c r="DI24" s="82" t="n"/>
      <c r="EI24" s="93" t="n"/>
    </row>
    <row r="25" ht="17.45" customHeight="1" s="158">
      <c r="A25" s="116" t="n"/>
      <c r="G25" s="117" t="n"/>
      <c r="M25" s="172" t="n"/>
      <c r="AG25" s="111" t="n"/>
      <c r="AK25" s="169" t="n"/>
      <c r="AO25" s="103" t="n"/>
      <c r="AU25" s="103" t="n"/>
      <c r="BA25" s="103" t="n"/>
      <c r="BH25" s="93" t="n"/>
      <c r="BJ25" s="100" t="n"/>
      <c r="CL25" s="93" t="n"/>
      <c r="CM25" s="98" t="n"/>
      <c r="DI25" s="82" t="n"/>
      <c r="EI25" s="93" t="n"/>
    </row>
    <row r="26" ht="17.45" customHeight="1" s="158">
      <c r="A26" s="121" t="n"/>
      <c r="G26" s="171" t="n"/>
      <c r="M26" s="167" t="n"/>
      <c r="AG26" s="106" t="n"/>
      <c r="AK26" s="106" t="n"/>
      <c r="AO26" s="102" t="n"/>
      <c r="AU26" s="109" t="n"/>
      <c r="BA26" s="109" t="n"/>
      <c r="BH26" s="93" t="n"/>
      <c r="BI26" s="93" t="n"/>
      <c r="BJ26" s="100" t="n"/>
      <c r="CL26" s="93" t="n"/>
      <c r="CM26" s="98" t="n"/>
      <c r="DL26" s="82" t="n"/>
      <c r="DM26" s="82" t="n"/>
      <c r="DN26" s="82" t="n"/>
      <c r="DO26" s="93" t="n"/>
      <c r="DP26" s="93" t="n"/>
      <c r="DQ26" s="93" t="n"/>
      <c r="DR26" s="93" t="n"/>
      <c r="DS26" s="93" t="n"/>
      <c r="DT26" s="93" t="n"/>
      <c r="DU26" s="93" t="n"/>
      <c r="DV26" s="93" t="n"/>
      <c r="DW26" s="93" t="n"/>
      <c r="DX26" s="93" t="n"/>
      <c r="DY26" s="93" t="n"/>
      <c r="DZ26" s="93" t="n"/>
      <c r="EA26" s="93" t="n"/>
      <c r="EB26" s="93" t="n"/>
      <c r="EC26" s="93" t="n"/>
      <c r="ED26" s="93" t="n"/>
      <c r="EE26" s="93" t="n"/>
      <c r="EF26" s="93" t="n"/>
      <c r="EG26" s="93" t="n"/>
      <c r="EH26" s="93" t="n"/>
      <c r="EI26" s="93" t="n"/>
    </row>
    <row r="27" ht="17.45" customHeight="1" s="158">
      <c r="A27" s="116" t="n"/>
      <c r="G27" s="117" t="n"/>
      <c r="M27" s="168" t="n"/>
      <c r="AG27" s="111" t="n"/>
      <c r="AK27" s="170" t="n"/>
      <c r="AO27" s="103" t="n"/>
      <c r="AU27" s="103" t="n"/>
      <c r="BA27" s="103" t="n"/>
      <c r="BH27" s="93" t="n"/>
      <c r="CL27" s="93" t="n"/>
      <c r="DI27" s="100" t="n"/>
      <c r="DT27" s="93" t="n"/>
      <c r="DU27" s="93" t="n"/>
      <c r="DV27" s="93" t="n"/>
      <c r="DW27" s="93" t="n"/>
      <c r="DX27" s="93" t="n"/>
      <c r="DY27" s="93" t="n"/>
      <c r="DZ27" s="93" t="n"/>
      <c r="EA27" s="93" t="n"/>
      <c r="EB27" s="93" t="n"/>
      <c r="EC27" s="93" t="n"/>
      <c r="EI27" s="93" t="n"/>
    </row>
    <row r="28" ht="17.45" customHeight="1" s="158">
      <c r="A28" s="121" t="n"/>
      <c r="G28" s="166" t="n"/>
      <c r="M28" s="167" t="n"/>
      <c r="AG28" s="106" t="n"/>
      <c r="AK28" s="106" t="n"/>
      <c r="AO28" s="102" t="n"/>
      <c r="AU28" s="109" t="n"/>
      <c r="BA28" s="109" t="n"/>
      <c r="BH28" s="93" t="n"/>
      <c r="BJ28" s="120" t="n"/>
      <c r="CL28" s="93" t="n"/>
      <c r="CN28" s="110" t="n"/>
      <c r="DI28" s="100" t="n"/>
      <c r="EI28" s="93" t="n"/>
      <c r="ES28" s="55" t="n"/>
      <c r="ET28" s="55" t="n"/>
      <c r="EU28" s="55" t="n"/>
    </row>
    <row r="29" ht="17.45" customHeight="1" s="158">
      <c r="A29" s="116" t="n"/>
      <c r="G29" s="117" t="n"/>
      <c r="M29" s="173" t="n"/>
      <c r="AG29" s="111" t="n"/>
      <c r="AK29" s="170" t="n"/>
      <c r="AO29" s="103" t="n"/>
      <c r="AU29" s="103" t="n"/>
      <c r="BA29" s="103" t="n"/>
      <c r="BH29" s="93" t="n"/>
      <c r="BJ29" s="84" t="n"/>
      <c r="CL29" s="93" t="n"/>
      <c r="CM29" s="83" t="n"/>
      <c r="DF29" s="92" t="n"/>
      <c r="DG29" s="92" t="n"/>
      <c r="DI29" s="100" t="n"/>
      <c r="EH29" s="92" t="n"/>
      <c r="EI29" s="92" t="n"/>
      <c r="EJ29" s="92" t="n"/>
      <c r="EK29" s="92" t="n"/>
      <c r="EL29" s="92" t="n"/>
      <c r="EM29" s="93" t="n"/>
    </row>
    <row r="30" ht="17.45" customHeight="1" s="158">
      <c r="A30" s="121" t="n"/>
      <c r="G30" s="166" t="n"/>
      <c r="M30" s="167" t="n"/>
      <c r="AG30" s="106" t="n"/>
      <c r="AK30" s="106" t="n"/>
      <c r="AO30" s="102" t="n"/>
      <c r="AU30" s="109" t="n"/>
      <c r="BA30" s="109" t="n"/>
      <c r="BH30" s="93" t="n"/>
      <c r="BJ30" s="81" t="n"/>
      <c r="CL30" s="93" t="n"/>
      <c r="CM30" s="144" t="n"/>
      <c r="DI30" s="100" t="n"/>
      <c r="EI30" s="82" t="n"/>
      <c r="EJ30" s="55" t="n"/>
    </row>
    <row r="31" ht="17.45" customHeight="1" s="158">
      <c r="A31" s="116" t="n"/>
      <c r="G31" s="117" t="n"/>
      <c r="M31" s="173" t="n"/>
      <c r="AG31" s="111" t="n"/>
      <c r="AK31" s="170" t="n"/>
      <c r="AO31" s="103" t="n"/>
      <c r="AU31" s="103" t="n"/>
      <c r="BA31" s="103" t="n"/>
      <c r="BH31" s="93" t="n"/>
      <c r="CH31" s="93" t="n"/>
      <c r="CI31" s="93" t="n"/>
      <c r="CJ31" s="93" t="n"/>
      <c r="CK31" s="93" t="n"/>
      <c r="CL31" s="93" t="n"/>
      <c r="CM31" s="173" t="n"/>
      <c r="DH31" s="93" t="n"/>
      <c r="EI31" s="82" t="n"/>
      <c r="EJ31" s="55" t="n"/>
    </row>
    <row r="32" ht="17.45" customHeight="1" s="158">
      <c r="A32" s="121" t="n"/>
      <c r="G32" s="166" t="n"/>
      <c r="M32" s="167" t="n"/>
      <c r="AG32" s="106" t="n"/>
      <c r="AK32" s="106" t="n"/>
      <c r="AO32" s="102" t="n"/>
      <c r="AU32" s="109" t="n"/>
      <c r="BA32" s="109" t="n"/>
      <c r="BH32" s="93" t="n"/>
      <c r="BJ32" s="120" t="n"/>
      <c r="BW32" s="159" t="n"/>
      <c r="CJ32" s="93" t="n"/>
      <c r="CK32" s="93" t="n"/>
      <c r="CL32" s="93" t="n"/>
      <c r="CY32" s="93" t="n"/>
      <c r="CZ32" s="93" t="n"/>
      <c r="DA32" s="93" t="n"/>
      <c r="DB32" s="13" t="n"/>
      <c r="DC32" s="13" t="n"/>
      <c r="DD32" s="13" t="n"/>
      <c r="DE32" s="13" t="n"/>
      <c r="DF32" s="13" t="n"/>
      <c r="DG32" s="13" t="n"/>
      <c r="DH32" s="13" t="n"/>
      <c r="DI32" s="13" t="n"/>
      <c r="DJ32" s="13" t="n"/>
      <c r="DK32" s="13" t="n"/>
      <c r="EI32" s="82" t="n"/>
      <c r="EJ32" s="55" t="n"/>
    </row>
    <row r="33" ht="17.45" customHeight="1" s="158">
      <c r="A33" s="116" t="n"/>
      <c r="G33" s="117" t="n"/>
      <c r="M33" s="173" t="n"/>
      <c r="AG33" s="111" t="n"/>
      <c r="AK33" s="170" t="n"/>
      <c r="AO33" s="103" t="n"/>
      <c r="AU33" s="103" t="n"/>
      <c r="BA33" s="103" t="n"/>
      <c r="BH33" s="93" t="n"/>
      <c r="BJ33" s="84" t="n"/>
      <c r="CI33" s="150" t="n"/>
      <c r="CJ33" s="93" t="n"/>
      <c r="CK33" s="93" t="n"/>
      <c r="CL33" s="93" t="n"/>
      <c r="CW33" s="150" t="n"/>
      <c r="DD33" s="150" t="n"/>
      <c r="DK33" s="150" t="n"/>
      <c r="DL33" s="150" t="n"/>
      <c r="DM33" s="150" t="n"/>
      <c r="DN33" s="150" t="n"/>
      <c r="DO33" s="150" t="n"/>
    </row>
    <row r="34" ht="17.45" customHeight="1" s="158">
      <c r="A34" s="121" t="n"/>
      <c r="G34" s="166" t="n"/>
      <c r="M34" s="167" t="n"/>
      <c r="AG34" s="106" t="n"/>
      <c r="AK34" s="106" t="n"/>
      <c r="AO34" s="102" t="n"/>
      <c r="AU34" s="109" t="n"/>
      <c r="BA34" s="109" t="n"/>
      <c r="BH34" s="93" t="n"/>
      <c r="BJ34" s="81" t="n"/>
      <c r="CJ34" s="93" t="n"/>
      <c r="CK34" s="93" t="n"/>
      <c r="CL34" s="81" t="n"/>
      <c r="CX34" s="93" t="n"/>
      <c r="CY34" s="93" t="n"/>
      <c r="CZ34" s="93" t="n"/>
      <c r="DA34" s="93" t="n"/>
      <c r="DB34" s="93" t="n"/>
      <c r="DC34" s="93" t="n"/>
      <c r="DD34" s="93" t="n"/>
      <c r="DE34" s="93" t="n"/>
      <c r="DF34" s="93" t="n"/>
      <c r="DG34" s="93" t="n"/>
      <c r="DH34" s="93" t="n"/>
      <c r="DI34" s="93" t="n"/>
      <c r="DJ34" s="93" t="n"/>
      <c r="DK34" s="93" t="n"/>
      <c r="DO34" s="150" t="n"/>
    </row>
    <row r="35" ht="17.45" customHeight="1" s="158">
      <c r="A35" s="116" t="n"/>
      <c r="G35" s="117" t="n"/>
      <c r="M35" s="173" t="n"/>
      <c r="AG35" s="111" t="n"/>
      <c r="AK35" s="170" t="n"/>
      <c r="AO35" s="103" t="n"/>
      <c r="AU35" s="103" t="n"/>
      <c r="BA35" s="103" t="n"/>
      <c r="BH35" s="93" t="n"/>
      <c r="CH35" s="93" t="n"/>
      <c r="CI35" s="93" t="n"/>
      <c r="CJ35" s="93" t="n"/>
      <c r="CK35" s="93" t="n"/>
      <c r="CL35" s="82" t="n"/>
      <c r="DO35" s="150" t="n"/>
    </row>
    <row r="36" ht="17.45" customHeight="1" s="158">
      <c r="A36" s="121" t="n"/>
      <c r="G36" s="166" t="n"/>
      <c r="M36" s="167" t="n"/>
      <c r="AG36" s="106" t="n"/>
      <c r="AK36" s="106" t="n"/>
      <c r="AO36" s="102" t="n"/>
      <c r="AU36" s="109" t="n"/>
      <c r="BA36" s="109" t="n"/>
      <c r="BH36" s="93" t="n"/>
      <c r="BJ36" s="91" t="n"/>
      <c r="CI36" s="93" t="n"/>
      <c r="CJ36" s="93" t="n"/>
      <c r="CK36" s="93" t="n"/>
      <c r="CL36" s="82" t="n"/>
      <c r="DO36" s="150" t="n"/>
    </row>
    <row r="37" ht="17.45" customHeight="1" s="158">
      <c r="A37" s="116" t="n"/>
      <c r="G37" s="117" t="n"/>
      <c r="M37" s="173" t="n"/>
      <c r="AG37" s="111" t="n"/>
      <c r="AK37" s="170" t="n"/>
      <c r="AO37" s="130" t="n"/>
      <c r="AP37" s="174" t="n"/>
      <c r="AQ37" s="174" t="n"/>
      <c r="AR37" s="174" t="n"/>
      <c r="AS37" s="174" t="n"/>
      <c r="AT37" s="174" t="n"/>
      <c r="AU37" s="103" t="n"/>
      <c r="BA37" s="103" t="n"/>
      <c r="BH37" s="93" t="n"/>
      <c r="BJ37" s="91" t="n"/>
      <c r="CI37" s="93" t="n"/>
      <c r="CJ37" s="93" t="n"/>
      <c r="CK37" s="93" t="n"/>
      <c r="CL37" s="93" t="n"/>
      <c r="EF37" s="93" t="n"/>
      <c r="EG37" s="93" t="n"/>
      <c r="EH37" s="82" t="n"/>
      <c r="EI37" s="82" t="n"/>
      <c r="EJ37" s="55" t="n"/>
    </row>
    <row r="38" ht="17.45" customHeight="1" s="158">
      <c r="A38" s="175" t="n"/>
      <c r="B38" s="176" t="n"/>
      <c r="C38" s="176" t="n"/>
      <c r="D38" s="176" t="n"/>
      <c r="E38" s="176" t="n"/>
      <c r="F38" s="176" t="n"/>
      <c r="G38" s="176" t="n"/>
      <c r="H38" s="176" t="n"/>
      <c r="I38" s="176" t="n"/>
      <c r="J38" s="176" t="n"/>
      <c r="K38" s="176" t="n"/>
      <c r="L38" s="176" t="n"/>
      <c r="M38" s="176" t="n"/>
      <c r="N38" s="176" t="n"/>
      <c r="O38" s="176" t="n"/>
      <c r="P38" s="176" t="n"/>
      <c r="Q38" s="176" t="n"/>
      <c r="R38" s="176" t="n"/>
      <c r="S38" s="176" t="n"/>
      <c r="T38" s="176" t="n"/>
      <c r="U38" s="176" t="n"/>
      <c r="V38" s="176" t="n"/>
      <c r="W38" s="176" t="n"/>
      <c r="X38" s="176" t="n"/>
      <c r="Y38" s="176" t="n"/>
      <c r="Z38" s="176" t="n"/>
      <c r="AA38" s="176" t="n"/>
      <c r="AB38" s="176" t="n"/>
      <c r="AC38" s="176" t="n"/>
      <c r="AD38" s="176" t="n"/>
      <c r="AE38" s="176" t="n"/>
      <c r="AF38" s="177" t="n"/>
      <c r="AG38" s="139" t="n"/>
      <c r="AH38" s="178" t="n"/>
      <c r="AI38" s="178" t="n"/>
      <c r="AJ38" s="178" t="n"/>
      <c r="AK38" s="140" t="n"/>
      <c r="AL38" s="178" t="n"/>
      <c r="AM38" s="178" t="n"/>
      <c r="AN38" s="178" t="n"/>
      <c r="AO38" s="141" t="n"/>
      <c r="AP38" s="178" t="n"/>
      <c r="AQ38" s="178" t="n"/>
      <c r="AR38" s="178" t="n"/>
      <c r="AS38" s="178" t="n"/>
      <c r="AT38" s="178" t="n"/>
      <c r="AU38" s="142" t="n"/>
      <c r="AV38" s="178" t="n"/>
      <c r="AW38" s="178" t="n"/>
      <c r="AX38" s="178" t="n"/>
      <c r="AY38" s="178" t="n"/>
      <c r="AZ38" s="178" t="n"/>
      <c r="BA38" s="179" t="n"/>
      <c r="BB38" s="178" t="n"/>
      <c r="BC38" s="178" t="n"/>
      <c r="BD38" s="178" t="n"/>
      <c r="BE38" s="178" t="n"/>
      <c r="BF38" s="178" t="n"/>
      <c r="BG38" s="180" t="n"/>
      <c r="BH38" s="93" t="n"/>
      <c r="BI38" s="93" t="n"/>
      <c r="BJ38" s="91" t="n"/>
      <c r="CI38" s="93" t="n"/>
      <c r="CJ38" s="93" t="n"/>
      <c r="CK38" s="93" t="n"/>
      <c r="CL38" s="81" t="n"/>
      <c r="CX38" s="82" t="n"/>
      <c r="CY38" s="82" t="n"/>
      <c r="CZ38" s="82" t="n"/>
      <c r="DA38" s="82" t="n"/>
      <c r="DB38" s="82" t="n"/>
      <c r="DC38" s="82" t="n"/>
      <c r="DD38" s="82" t="n"/>
      <c r="DE38" s="159" t="n"/>
      <c r="EE38" s="82" t="n"/>
      <c r="EF38" s="82" t="n"/>
      <c r="EG38" s="82" t="n"/>
      <c r="EH38" s="82" t="n"/>
      <c r="EI38" s="82" t="n"/>
      <c r="EJ38" s="55" t="n"/>
    </row>
    <row r="39" ht="17.45" customHeight="1" s="158">
      <c r="A39" s="181" t="n"/>
      <c r="AF39" s="182" t="n"/>
      <c r="AG39" s="125" t="inlineStr">
        <is>
          <t>消費税率</t>
        </is>
      </c>
      <c r="AH39" s="178" t="n"/>
      <c r="AI39" s="178" t="n"/>
      <c r="AJ39" s="178" t="n"/>
      <c r="AK39" s="178" t="n"/>
      <c r="AL39" s="178" t="n"/>
      <c r="AM39" s="178" t="n"/>
      <c r="AN39" s="178" t="n"/>
      <c r="AO39" s="183" t="n">
        <v>0.1</v>
      </c>
      <c r="AP39" s="178" t="n"/>
      <c r="AQ39" s="178" t="n"/>
      <c r="AR39" s="178" t="n"/>
      <c r="AS39" s="178" t="n"/>
      <c r="AT39" s="178" t="n"/>
      <c r="AU39" s="178" t="n"/>
      <c r="AV39" s="178" t="n"/>
      <c r="AW39" s="178" t="n"/>
      <c r="AX39" s="178" t="n"/>
      <c r="AY39" s="178" t="n"/>
      <c r="AZ39" s="178" t="n"/>
      <c r="BA39" s="178" t="n"/>
      <c r="BB39" s="178" t="n"/>
      <c r="BC39" s="178" t="n"/>
      <c r="BD39" s="178" t="n"/>
      <c r="BE39" s="178" t="n"/>
      <c r="BF39" s="178" t="n"/>
      <c r="BG39" s="180" t="n"/>
      <c r="BH39" s="93" t="n"/>
      <c r="BZ39" s="82" t="n"/>
      <c r="CA39" s="82" t="n"/>
      <c r="CB39" s="82" t="n"/>
      <c r="CC39" s="82" t="n"/>
      <c r="CD39" s="82" t="n"/>
      <c r="CE39" s="82" t="n"/>
      <c r="CF39" s="82" t="n"/>
      <c r="CG39" s="82" t="n"/>
      <c r="CH39" s="82" t="n"/>
      <c r="CI39" s="82" t="n"/>
      <c r="CJ39" s="82" t="n"/>
      <c r="CK39" s="82" t="n"/>
      <c r="CL39" s="84" t="n"/>
      <c r="EF39" s="82" t="n"/>
      <c r="EG39" s="82" t="n"/>
      <c r="EH39" s="82" t="n"/>
      <c r="EI39" s="82" t="n"/>
      <c r="EJ39" s="55" t="n"/>
    </row>
    <row r="40" ht="17.45" customHeight="1" s="158">
      <c r="A40" s="181" t="n"/>
      <c r="AF40" s="182" t="n"/>
      <c r="AG40" s="125" t="inlineStr">
        <is>
          <t>対象小計</t>
        </is>
      </c>
      <c r="AH40" s="178" t="n"/>
      <c r="AI40" s="178" t="n"/>
      <c r="AJ40" s="178" t="n"/>
      <c r="AK40" s="178" t="n"/>
      <c r="AL40" s="178" t="n"/>
      <c r="AM40" s="178" t="n"/>
      <c r="AN40" s="178" t="n"/>
      <c r="AO40" s="184">
        <f>SUM(AO21:AT37)</f>
        <v/>
      </c>
      <c r="AP40" s="178" t="n"/>
      <c r="AQ40" s="178" t="n"/>
      <c r="AR40" s="178" t="n"/>
      <c r="AS40" s="178" t="n"/>
      <c r="AT40" s="178" t="n"/>
      <c r="AU40" s="178" t="n"/>
      <c r="AV40" s="178" t="n"/>
      <c r="AW40" s="178" t="n"/>
      <c r="AX40" s="178" t="n"/>
      <c r="AY40" s="178" t="n"/>
      <c r="AZ40" s="178" t="n"/>
      <c r="BA40" s="178" t="n"/>
      <c r="BB40" s="178" t="n"/>
      <c r="BC40" s="178" t="n"/>
      <c r="BD40" s="178" t="n"/>
      <c r="BE40" s="178" t="n"/>
      <c r="BF40" s="178" t="n"/>
      <c r="BG40" s="180" t="n"/>
      <c r="BH40" s="93" t="n"/>
      <c r="BJ40" s="81" t="n"/>
      <c r="BK40" s="81" t="n"/>
      <c r="BL40" s="81" t="n"/>
      <c r="BM40" s="81" t="n"/>
      <c r="BN40" s="81" t="n"/>
      <c r="BO40" s="81" t="n"/>
      <c r="BP40" s="81" t="n"/>
      <c r="BQ40" s="81" t="n"/>
      <c r="BR40" s="81" t="n"/>
      <c r="BS40" s="81" t="n"/>
      <c r="BT40" s="81" t="n"/>
      <c r="BU40" s="81" t="n"/>
      <c r="BV40" s="82" t="n"/>
      <c r="BW40" s="82" t="n"/>
      <c r="BX40" s="82" t="n"/>
      <c r="BY40" s="159" t="n"/>
      <c r="BZ40" s="159" t="n"/>
      <c r="CA40" s="159" t="n"/>
      <c r="CB40" s="159" t="n"/>
      <c r="CC40" s="159" t="n"/>
      <c r="CI40" s="93" t="n"/>
      <c r="CJ40" s="93" t="n"/>
      <c r="CK40" s="93" t="n"/>
      <c r="CL40" s="81" t="n"/>
      <c r="EF40" s="82" t="n"/>
      <c r="EG40" s="82" t="n"/>
      <c r="EH40" s="82" t="n"/>
      <c r="EI40" s="82" t="n"/>
      <c r="EJ40" s="55" t="n"/>
    </row>
    <row r="41" ht="17.45" customHeight="1" s="158">
      <c r="A41" s="181" t="n"/>
      <c r="AF41" s="182" t="n"/>
      <c r="AG41" s="125" t="inlineStr">
        <is>
          <t>消費税額</t>
        </is>
      </c>
      <c r="AH41" s="178" t="n"/>
      <c r="AI41" s="178" t="n"/>
      <c r="AJ41" s="178" t="n"/>
      <c r="AK41" s="178" t="n"/>
      <c r="AL41" s="178" t="n"/>
      <c r="AM41" s="178" t="n"/>
      <c r="AN41" s="178" t="n"/>
      <c r="AO41" s="184">
        <f>AO40*10%</f>
        <v/>
      </c>
      <c r="AP41" s="178" t="n"/>
      <c r="AQ41" s="178" t="n"/>
      <c r="AR41" s="178" t="n"/>
      <c r="AS41" s="178" t="n"/>
      <c r="AT41" s="178" t="n"/>
      <c r="AU41" s="178" t="n"/>
      <c r="AV41" s="178" t="n"/>
      <c r="AW41" s="178" t="n"/>
      <c r="AX41" s="178" t="n"/>
      <c r="AY41" s="178" t="n"/>
      <c r="AZ41" s="178" t="n"/>
      <c r="BA41" s="178" t="n"/>
      <c r="BB41" s="178" t="n"/>
      <c r="BC41" s="178" t="n"/>
      <c r="BD41" s="178" t="n"/>
      <c r="BE41" s="178" t="n"/>
      <c r="BF41" s="178" t="n"/>
      <c r="BG41" s="180" t="n"/>
      <c r="BH41" s="93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2" t="n"/>
      <c r="CB41" s="93" t="n"/>
      <c r="CC41" s="93" t="n"/>
      <c r="CI41" s="93" t="n"/>
      <c r="CJ41" s="93" t="n"/>
      <c r="CK41" s="93" t="n"/>
      <c r="CL41" s="81" t="n"/>
    </row>
    <row r="42" ht="17.45" customHeight="1" s="158">
      <c r="A42" s="185" t="n"/>
      <c r="B42" s="174" t="n"/>
      <c r="C42" s="174" t="n"/>
      <c r="D42" s="174" t="n"/>
      <c r="E42" s="174" t="n"/>
      <c r="F42" s="174" t="n"/>
      <c r="G42" s="174" t="n"/>
      <c r="H42" s="174" t="n"/>
      <c r="I42" s="174" t="n"/>
      <c r="J42" s="174" t="n"/>
      <c r="K42" s="174" t="n"/>
      <c r="L42" s="174" t="n"/>
      <c r="M42" s="174" t="n"/>
      <c r="N42" s="174" t="n"/>
      <c r="O42" s="174" t="n"/>
      <c r="P42" s="174" t="n"/>
      <c r="Q42" s="174" t="n"/>
      <c r="R42" s="174" t="n"/>
      <c r="S42" s="174" t="n"/>
      <c r="T42" s="174" t="n"/>
      <c r="U42" s="174" t="n"/>
      <c r="V42" s="174" t="n"/>
      <c r="W42" s="174" t="n"/>
      <c r="X42" s="174" t="n"/>
      <c r="Y42" s="174" t="n"/>
      <c r="Z42" s="174" t="n"/>
      <c r="AA42" s="174" t="n"/>
      <c r="AB42" s="174" t="n"/>
      <c r="AC42" s="174" t="n"/>
      <c r="AD42" s="174" t="n"/>
      <c r="AE42" s="174" t="n"/>
      <c r="AF42" s="186" t="n"/>
      <c r="AG42" s="125" t="inlineStr">
        <is>
          <t>合計</t>
        </is>
      </c>
      <c r="AH42" s="178" t="n"/>
      <c r="AI42" s="178" t="n"/>
      <c r="AJ42" s="178" t="n"/>
      <c r="AK42" s="178" t="n"/>
      <c r="AL42" s="178" t="n"/>
      <c r="AM42" s="178" t="n"/>
      <c r="AN42" s="178" t="n"/>
      <c r="AO42" s="184">
        <f>SUM(AO40:BG41)</f>
        <v/>
      </c>
      <c r="AP42" s="178" t="n"/>
      <c r="AQ42" s="178" t="n"/>
      <c r="AR42" s="178" t="n"/>
      <c r="AS42" s="178" t="n"/>
      <c r="AT42" s="178" t="n"/>
      <c r="AU42" s="178" t="n"/>
      <c r="AV42" s="178" t="n"/>
      <c r="AW42" s="178" t="n"/>
      <c r="AX42" s="178" t="n"/>
      <c r="AY42" s="178" t="n"/>
      <c r="AZ42" s="178" t="n"/>
      <c r="BA42" s="178" t="n"/>
      <c r="BB42" s="178" t="n"/>
      <c r="BC42" s="178" t="n"/>
      <c r="BD42" s="178" t="n"/>
      <c r="BE42" s="178" t="n"/>
      <c r="BF42" s="178" t="n"/>
      <c r="BG42" s="180" t="n"/>
      <c r="BH42" s="93" t="n"/>
      <c r="BI42" s="93" t="n"/>
      <c r="BJ42" s="81" t="n"/>
      <c r="BK42" s="81" t="n"/>
      <c r="BL42" s="81" t="n"/>
      <c r="BM42" s="81" t="n"/>
      <c r="BN42" s="81" t="n"/>
      <c r="BO42" s="81" t="n"/>
      <c r="BP42" s="81" t="n"/>
      <c r="BQ42" s="81" t="n"/>
      <c r="BR42" s="81" t="n"/>
      <c r="BS42" s="81" t="n"/>
      <c r="BT42" s="81" t="n"/>
      <c r="BU42" s="81" t="n"/>
      <c r="BV42" s="81" t="n"/>
      <c r="BW42" s="81" t="n"/>
      <c r="BX42" s="81" t="n"/>
      <c r="BY42" s="81" t="n"/>
      <c r="BZ42" s="81" t="n"/>
      <c r="CA42" s="81" t="n"/>
      <c r="CB42" s="93" t="n"/>
      <c r="CC42" s="93" t="n"/>
      <c r="CI42" s="82" t="n"/>
      <c r="CJ42" s="82" t="n"/>
      <c r="CK42" s="82" t="n"/>
      <c r="DM42" s="93" t="n"/>
    </row>
    <row r="43" ht="17.45" customHeight="1" s="158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15" t="n"/>
      <c r="BF43" s="15" t="n"/>
      <c r="BG43" s="15" t="n"/>
      <c r="BH43" s="93" t="n"/>
      <c r="CG43" s="82" t="n"/>
      <c r="CH43" s="82" t="n"/>
      <c r="CI43" s="82" t="n"/>
      <c r="CJ43" s="82" t="n"/>
      <c r="CK43" s="93" t="n"/>
      <c r="DK43" s="93" t="n"/>
    </row>
    <row r="44" ht="17.45" customHeight="1" s="158">
      <c r="A44" s="100" t="inlineStr">
        <is>
          <t>お振込みは下記銀行へお願い申しあげます。</t>
        </is>
      </c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15" t="n"/>
      <c r="BF44" s="15" t="n"/>
      <c r="BG44" s="15" t="n"/>
      <c r="BH44" s="93" t="n"/>
      <c r="BJ44" s="81" t="n"/>
      <c r="BV44" s="82" t="n"/>
      <c r="BW44" s="159" t="n"/>
      <c r="CC44" s="93" t="n"/>
      <c r="CD44" s="93" t="n"/>
      <c r="CE44" s="93" t="n"/>
      <c r="CF44" s="93" t="n"/>
      <c r="CI44" s="82" t="n"/>
      <c r="CJ44" s="82" t="n"/>
      <c r="CK44" s="82" t="n"/>
      <c r="CM44" s="81" t="n"/>
      <c r="DB44" s="82" t="n"/>
      <c r="DC44" s="82" t="n"/>
      <c r="DD44" s="82" t="n"/>
      <c r="DE44" s="82" t="n"/>
      <c r="DF44" s="159" t="n"/>
    </row>
    <row r="45" ht="17.45" customHeight="1" s="158">
      <c r="A45" s="100" t="inlineStr">
        <is>
          <t>いちい信用金庫　富田町支店</t>
        </is>
      </c>
      <c r="W45" s="1" t="n"/>
      <c r="X45" s="1" t="n"/>
      <c r="Y45" s="1" t="n"/>
      <c r="Z45" s="1" t="n"/>
      <c r="AA45" s="1" t="n"/>
      <c r="AB45" s="1" t="n"/>
      <c r="AC45" s="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15" t="n"/>
      <c r="BF45" s="15" t="n"/>
      <c r="BG45" s="15" t="n"/>
      <c r="BH45" s="93" t="n"/>
      <c r="BJ45" s="81" t="n"/>
      <c r="CF45" s="93" t="n"/>
      <c r="CG45" s="82" t="n"/>
      <c r="CH45" s="82" t="n"/>
      <c r="CI45" s="82" t="n"/>
      <c r="CJ45" s="82" t="n"/>
      <c r="CK45" s="82" t="n"/>
      <c r="CM45" s="84" t="n"/>
    </row>
    <row r="46" ht="17.45" customHeight="1" s="158">
      <c r="A46" s="100" t="inlineStr">
        <is>
          <t>普通　：　１２００９４</t>
        </is>
      </c>
      <c r="R46" s="93" t="n"/>
      <c r="S46" s="93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15" t="n"/>
      <c r="BF46" s="15" t="n"/>
      <c r="BG46" s="15" t="n"/>
      <c r="BH46" s="93" t="n"/>
      <c r="BJ46" s="81" t="n"/>
      <c r="CF46" s="93" t="n"/>
      <c r="CG46" s="93" t="n"/>
      <c r="CH46" s="93" t="n"/>
      <c r="CI46" s="101" t="n"/>
      <c r="CJ46" s="101" t="n"/>
      <c r="CK46" s="101" t="n"/>
      <c r="CL46" s="101" t="n"/>
      <c r="CM46" s="81" t="n"/>
    </row>
    <row r="47" ht="17.45" customHeight="1" s="158">
      <c r="A47" s="100" t="inlineStr">
        <is>
          <t>中部システム工業株式会社</t>
        </is>
      </c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15" t="n"/>
      <c r="BF47" s="15" t="n"/>
      <c r="BG47" s="15" t="n"/>
      <c r="BH47" s="93" t="n"/>
      <c r="BJ47" s="69" t="n"/>
      <c r="BK47" s="93" t="n"/>
      <c r="BL47" s="93" t="n"/>
      <c r="BM47" s="93" t="n"/>
      <c r="BN47" s="93" t="n"/>
      <c r="BO47" s="93" t="n"/>
      <c r="BP47" s="93" t="n"/>
      <c r="BQ47" s="93" t="n"/>
      <c r="BR47" s="93" t="n"/>
      <c r="BS47" s="93" t="n"/>
      <c r="BT47" s="93" t="n"/>
      <c r="BU47" s="93" t="n"/>
      <c r="BV47" s="93" t="n"/>
      <c r="BW47" s="93" t="n"/>
      <c r="BX47" s="93" t="n"/>
      <c r="BY47" s="93" t="n"/>
      <c r="BZ47" s="93" t="n"/>
      <c r="CA47" s="93" t="n"/>
      <c r="CB47" s="93" t="n"/>
      <c r="CC47" s="93" t="n"/>
      <c r="CD47" s="93" t="n"/>
      <c r="CE47" s="93" t="n"/>
      <c r="CF47" s="82" t="n"/>
      <c r="DW47" s="64" t="n"/>
      <c r="DX47" s="64" t="n"/>
      <c r="DY47" s="64" t="n"/>
      <c r="DZ47" s="64" t="n"/>
      <c r="EA47" s="64" t="n"/>
      <c r="EB47" s="64" t="n"/>
      <c r="EC47" s="64" t="n"/>
      <c r="ED47" s="64" t="n"/>
      <c r="EE47" s="64" t="n"/>
      <c r="EF47" s="64" t="n"/>
      <c r="EG47" s="64" t="n"/>
      <c r="EH47" s="64" t="n"/>
      <c r="EI47" s="64" t="n"/>
      <c r="EJ47" s="64" t="n"/>
    </row>
    <row r="48" ht="17.45" customHeight="1" s="158">
      <c r="A48" s="100" t="inlineStr">
        <is>
          <t>代表取締役　森本　静雄</t>
        </is>
      </c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5" t="n"/>
      <c r="BB48" s="15" t="n"/>
      <c r="BC48" s="15" t="n"/>
      <c r="BD48" s="15" t="n"/>
      <c r="BE48" s="15" t="n"/>
      <c r="BF48" s="15" t="n"/>
      <c r="BG48" s="15" t="n"/>
      <c r="BH48" s="93" t="n"/>
      <c r="BJ48" s="91" t="n"/>
      <c r="CY48" s="93" t="n"/>
      <c r="CZ48" s="160" t="n"/>
      <c r="DF48" s="93" t="n"/>
      <c r="DH48" s="93" t="n"/>
    </row>
    <row r="49" ht="17.45" customHeight="1" s="158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5" t="n"/>
      <c r="BB49" s="15" t="n"/>
      <c r="BC49" s="15" t="n"/>
      <c r="BD49" s="15" t="n"/>
      <c r="BE49" s="15" t="n"/>
      <c r="BF49" s="15" t="n"/>
      <c r="BG49" s="15" t="n"/>
      <c r="BH49" s="93" t="n"/>
      <c r="BJ49" s="91" t="n"/>
      <c r="CM49" s="81" t="n"/>
    </row>
    <row r="50" ht="17.45" customHeight="1" s="158"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  <c r="AA50" s="93" t="n"/>
      <c r="AB50" s="93" t="n"/>
      <c r="AC50" s="93" t="n"/>
      <c r="AD50" s="1" t="n"/>
      <c r="AE50" s="1" t="n"/>
      <c r="AF50" s="1" t="n"/>
      <c r="AG50" s="1" t="n"/>
      <c r="AH50" s="66" t="n"/>
      <c r="AI50" s="65" t="n"/>
      <c r="AJ50" s="66" t="n"/>
      <c r="AK50" s="81" t="n"/>
      <c r="AL50" s="81" t="n"/>
      <c r="AM50" s="15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5" t="n"/>
      <c r="BB50" s="82" t="n"/>
      <c r="BC50" s="82" t="n"/>
      <c r="BD50" s="82" t="n"/>
      <c r="BE50" s="59" t="n"/>
      <c r="BF50" s="59" t="n"/>
      <c r="BH50" s="93" t="n"/>
      <c r="BJ50" s="91" t="n"/>
      <c r="CM50" s="81" t="n"/>
    </row>
    <row r="51" ht="17.45" customHeight="1" s="158"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82" t="n"/>
      <c r="AA51" s="82" t="n"/>
      <c r="AB51" s="82" t="n"/>
      <c r="AC51" s="82" t="n"/>
      <c r="AD51" s="1" t="n"/>
      <c r="AE51" s="1" t="n"/>
      <c r="AF51" s="1" t="n"/>
      <c r="AG51" s="1" t="n"/>
      <c r="AH51" s="66" t="n"/>
      <c r="AI51" s="65" t="n"/>
      <c r="AJ51" s="66" t="n"/>
      <c r="AK51" s="81" t="n"/>
      <c r="AL51" s="81" t="n"/>
      <c r="AM51" s="15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5" t="n"/>
      <c r="BB51" s="82" t="n"/>
      <c r="BC51" s="82" t="n"/>
      <c r="BD51" s="82" t="n"/>
      <c r="BE51" s="55" t="n"/>
      <c r="BF51" s="55" t="n"/>
      <c r="BH51" s="93" t="n"/>
      <c r="BJ51" s="64" t="n"/>
      <c r="BK51" s="64" t="n"/>
      <c r="BL51" s="64" t="n"/>
      <c r="BM51" s="64" t="n"/>
      <c r="BN51" s="64" t="n"/>
      <c r="BO51" s="64" t="n"/>
      <c r="BP51" s="64" t="n"/>
      <c r="BQ51" s="64" t="n"/>
      <c r="BR51" s="64" t="n"/>
      <c r="DL51" s="64" t="n"/>
      <c r="DM51" s="64" t="n"/>
      <c r="DN51" s="64" t="n"/>
      <c r="DO51" s="64" t="n"/>
      <c r="DP51" s="64" t="n"/>
      <c r="DQ51" s="64" t="n"/>
      <c r="DR51" s="64" t="n"/>
      <c r="DS51" s="64" t="n"/>
      <c r="DT51" s="64" t="n"/>
      <c r="DU51" s="64" t="n"/>
      <c r="DV51" s="64" t="n"/>
      <c r="DW51" s="64" t="n"/>
      <c r="DX51" s="64" t="n"/>
      <c r="DY51" s="64" t="n"/>
      <c r="DZ51" s="64" t="n"/>
      <c r="EA51" s="64" t="n"/>
      <c r="EB51" s="64" t="n"/>
      <c r="EC51" s="64" t="n"/>
      <c r="ED51" s="64" t="n"/>
      <c r="EE51" s="64" t="n"/>
      <c r="EF51" s="64" t="n"/>
      <c r="EG51" s="64" t="n"/>
      <c r="EH51" s="64" t="n"/>
      <c r="EI51" s="64" t="n"/>
      <c r="EJ51" s="64" t="n"/>
    </row>
    <row r="52" ht="17.45" customHeight="1" s="158">
      <c r="A52" s="56" t="n"/>
      <c r="B52" s="60" t="n"/>
      <c r="C52" s="56" t="n"/>
      <c r="D52" s="58" t="n"/>
      <c r="E52" s="61" t="n"/>
      <c r="F52" s="62" t="n"/>
      <c r="G52" s="63" t="n"/>
      <c r="H52" s="63" t="n"/>
      <c r="I52" s="63" t="n"/>
      <c r="J52" s="92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66" t="n"/>
      <c r="AI52" s="65" t="n"/>
      <c r="AJ52" s="66" t="n"/>
      <c r="AK52" s="81" t="n"/>
      <c r="AL52" s="81" t="n"/>
      <c r="AM52" s="15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5" t="n"/>
      <c r="BB52" s="82" t="n"/>
      <c r="BC52" s="82" t="n"/>
      <c r="BD52" s="82" t="n"/>
      <c r="BE52" s="55" t="n"/>
      <c r="BF52" s="55" t="n"/>
      <c r="BH52" s="150" t="n"/>
      <c r="BJ52" s="81" t="n"/>
    </row>
    <row r="53" ht="17.45" customHeight="1" s="158">
      <c r="BH53" s="150" t="n"/>
      <c r="BJ53" s="82" t="n"/>
      <c r="BK53" s="82" t="n"/>
      <c r="BL53" s="82" t="n"/>
      <c r="BM53" s="82" t="n"/>
      <c r="BN53" s="82" t="n"/>
      <c r="BO53" s="82" t="n"/>
      <c r="BP53" s="82" t="n"/>
      <c r="BQ53" s="82" t="n"/>
      <c r="BR53" s="82" t="n"/>
      <c r="BS53" s="82" t="n"/>
      <c r="BT53" s="82" t="n"/>
      <c r="BU53" s="82" t="n"/>
      <c r="BV53" s="82" t="n"/>
      <c r="BW53" s="82" t="n"/>
      <c r="BX53" s="82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2" t="n"/>
      <c r="CZ53" s="82" t="n"/>
      <c r="DA53" s="82" t="n"/>
      <c r="DB53" s="82" t="n"/>
      <c r="DC53" s="82" t="n"/>
      <c r="DD53" s="82" t="n"/>
      <c r="DE53" s="82" t="n"/>
      <c r="DF53" s="82" t="n"/>
      <c r="DG53" s="82" t="n"/>
      <c r="DH53" s="82" t="n"/>
      <c r="DI53" s="82" t="n"/>
      <c r="DJ53" s="82" t="n"/>
      <c r="DK53" s="82" t="n"/>
    </row>
    <row r="54" ht="17.45" customHeight="1" s="158">
      <c r="BH54" s="150" t="n"/>
      <c r="BJ54" s="82" t="n"/>
      <c r="BK54" s="82" t="n"/>
      <c r="BL54" s="82" t="n"/>
      <c r="BM54" s="82" t="n"/>
      <c r="BN54" s="82" t="n"/>
      <c r="BO54" s="82" t="n"/>
      <c r="BP54" s="82" t="n"/>
      <c r="BQ54" s="82" t="n"/>
      <c r="BR54" s="82" t="n"/>
      <c r="BS54" s="82" t="n"/>
      <c r="BT54" s="82" t="n"/>
      <c r="BU54" s="82" t="n"/>
      <c r="BV54" s="82" t="n"/>
      <c r="BW54" s="82" t="n"/>
      <c r="BX54" s="82" t="n"/>
      <c r="CM54" s="81" t="n"/>
      <c r="CN54" s="81" t="n"/>
      <c r="CO54" s="81" t="n"/>
      <c r="CP54" s="81" t="n"/>
      <c r="CQ54" s="81" t="n"/>
      <c r="CR54" s="81" t="n"/>
      <c r="CS54" s="81" t="n"/>
      <c r="CT54" s="81" t="n"/>
      <c r="CU54" s="81" t="n"/>
      <c r="CV54" s="81" t="n"/>
      <c r="CW54" s="81" t="n"/>
      <c r="CX54" s="81" t="n"/>
      <c r="CY54" s="81" t="n"/>
      <c r="CZ54" s="81" t="n"/>
      <c r="DA54" s="81" t="n"/>
      <c r="DB54" s="81" t="n"/>
      <c r="DC54" s="81" t="n"/>
      <c r="DD54" s="81" t="n"/>
      <c r="DE54" s="81" t="n"/>
      <c r="DF54" s="81" t="n"/>
      <c r="DG54" s="81" t="n"/>
      <c r="DH54" s="81" t="n"/>
      <c r="DI54" s="81" t="n"/>
      <c r="DJ54" s="82" t="n"/>
      <c r="DK54" s="82" t="n"/>
    </row>
    <row r="55" ht="17.45" customHeight="1" s="158">
      <c r="BH55" s="150" t="n"/>
      <c r="CM55" s="81" t="n"/>
    </row>
    <row r="56" ht="17.45" customHeight="1" s="158">
      <c r="BJ56" s="81" t="n"/>
      <c r="BX56" s="159" t="n"/>
    </row>
    <row r="57" ht="17.45" customHeight="1" s="158">
      <c r="BJ57" s="81" t="n"/>
      <c r="CM57" s="100" t="n"/>
    </row>
    <row r="58" ht="17.45" customHeight="1" s="158">
      <c r="BJ58" s="81" t="n"/>
      <c r="CM58" s="100" t="n"/>
    </row>
    <row r="59" ht="17.45" customHeight="1" s="158">
      <c r="CM59" s="100" t="n"/>
    </row>
    <row r="60" ht="17.45" customHeight="1" s="158">
      <c r="BK60" s="91" t="n"/>
    </row>
    <row r="61" ht="17.45" customHeight="1" s="158">
      <c r="BK61" s="91" t="n"/>
      <c r="CM61" s="81" t="n"/>
      <c r="CY61" s="82" t="n"/>
      <c r="CZ61" s="159" t="n"/>
      <c r="DF61" s="82" t="n"/>
      <c r="DG61" s="82" t="n"/>
      <c r="DH61" s="82" t="n"/>
    </row>
    <row r="62" ht="17.45" customHeight="1" s="158">
      <c r="BK62" s="91" t="n"/>
      <c r="CM62" s="81" t="n"/>
    </row>
    <row r="63" ht="17.45" customHeight="1" s="158">
      <c r="CM63" s="81" t="n"/>
    </row>
    <row r="64" ht="17.45" customHeight="1" s="158">
      <c r="BK64" s="120" t="n"/>
      <c r="BU64" s="81" t="n"/>
      <c r="BV64" s="81" t="n"/>
      <c r="BW64" s="82" t="n"/>
      <c r="BX64" s="82" t="n"/>
      <c r="BY64" s="82" t="n"/>
      <c r="BZ64" s="82" t="n"/>
      <c r="CA64" s="82" t="n"/>
      <c r="CB64" s="82" t="n"/>
      <c r="CC64" s="173" t="n"/>
      <c r="CD64" s="173" t="n"/>
      <c r="CM64" s="98" t="n"/>
      <c r="DD64" s="82" t="n"/>
      <c r="DE64" s="82" t="n"/>
      <c r="DF64" s="82" t="n"/>
      <c r="DG64" s="82" t="n"/>
      <c r="DH64" s="82" t="n"/>
    </row>
    <row r="65" ht="17.45" customHeight="1" s="158">
      <c r="BK65" s="120" t="n"/>
    </row>
    <row r="66" ht="17.45" customHeight="1" s="158">
      <c r="BK66" s="120" t="n"/>
    </row>
    <row r="67" ht="17.45" customHeight="1" s="158">
      <c r="CO67" s="100" t="n"/>
    </row>
    <row r="68" ht="17.45" customHeight="1" s="158">
      <c r="CO68" s="83" t="n"/>
    </row>
    <row r="69" ht="17.45" customHeight="1" s="158">
      <c r="BM69" s="100" t="n"/>
      <c r="CO69" s="164" t="n"/>
    </row>
    <row r="70" ht="17.45" customHeight="1" s="158">
      <c r="BM70" s="83" t="n"/>
    </row>
    <row r="71" ht="17.45" customHeight="1" s="158">
      <c r="BM71" s="164" t="n"/>
      <c r="CO71" s="100" t="n"/>
    </row>
    <row r="72" ht="17.45" customHeight="1" s="158">
      <c r="CO72" s="83" t="n"/>
    </row>
    <row r="73" ht="17.45" customHeight="1" s="158">
      <c r="CO73" s="164" t="n"/>
    </row>
  </sheetData>
  <mergeCells count="357">
    <mergeCell ref="AG37:AJ37"/>
    <mergeCell ref="BK64:BT64"/>
    <mergeCell ref="AO19:AT19"/>
    <mergeCell ref="BA26:BG26"/>
    <mergeCell ref="BJ13:BY13"/>
    <mergeCell ref="DI24:EH24"/>
    <mergeCell ref="BW3:CB3"/>
    <mergeCell ref="AO20:AT20"/>
    <mergeCell ref="CL34:CW34"/>
    <mergeCell ref="M35:AF35"/>
    <mergeCell ref="BB5:BC5"/>
    <mergeCell ref="AU22:AZ22"/>
    <mergeCell ref="CL41:DJ41"/>
    <mergeCell ref="A20:F20"/>
    <mergeCell ref="AO22:AT22"/>
    <mergeCell ref="BJ3:BU3"/>
    <mergeCell ref="BK62:CG62"/>
    <mergeCell ref="M30:AF30"/>
    <mergeCell ref="A48:R48"/>
    <mergeCell ref="AG27:AJ27"/>
    <mergeCell ref="CB11:CG11"/>
    <mergeCell ref="AK20:AN20"/>
    <mergeCell ref="BJ7:BS7"/>
    <mergeCell ref="CB12:CG12"/>
    <mergeCell ref="DL5:EH5"/>
    <mergeCell ref="AO33:AT33"/>
    <mergeCell ref="A33:F33"/>
    <mergeCell ref="AO5:AQ5"/>
    <mergeCell ref="AO35:AT35"/>
    <mergeCell ref="BJ30:CH30"/>
    <mergeCell ref="BJ16:BU16"/>
    <mergeCell ref="A35:F35"/>
    <mergeCell ref="AG38:AJ38"/>
    <mergeCell ref="A28:F28"/>
    <mergeCell ref="BJ18:CD18"/>
    <mergeCell ref="DL3:DT3"/>
    <mergeCell ref="AV17:BG18"/>
    <mergeCell ref="A30:F30"/>
    <mergeCell ref="BW44:CB44"/>
    <mergeCell ref="G21:L21"/>
    <mergeCell ref="M36:AF36"/>
    <mergeCell ref="AO28:AT28"/>
    <mergeCell ref="G23:L23"/>
    <mergeCell ref="BJ44:BU44"/>
    <mergeCell ref="AG40:AN40"/>
    <mergeCell ref="DB3:DG3"/>
    <mergeCell ref="AG34:AJ34"/>
    <mergeCell ref="CB13:CG13"/>
    <mergeCell ref="AK28:AN28"/>
    <mergeCell ref="DL6:EH6"/>
    <mergeCell ref="BJ29:CH29"/>
    <mergeCell ref="L17:V18"/>
    <mergeCell ref="A45:V45"/>
    <mergeCell ref="CO73:DM73"/>
    <mergeCell ref="A34:F34"/>
    <mergeCell ref="AK30:AN30"/>
    <mergeCell ref="M21:AF21"/>
    <mergeCell ref="BJ38:CE38"/>
    <mergeCell ref="CL39:DJ39"/>
    <mergeCell ref="BK65:CB65"/>
    <mergeCell ref="M26:AF26"/>
    <mergeCell ref="A36:F36"/>
    <mergeCell ref="BJ26:CD26"/>
    <mergeCell ref="AO41:BG41"/>
    <mergeCell ref="AO29:AT29"/>
    <mergeCell ref="G24:L24"/>
    <mergeCell ref="CM23:DG23"/>
    <mergeCell ref="CO68:DM68"/>
    <mergeCell ref="AO31:AT31"/>
    <mergeCell ref="BJ45:CE45"/>
    <mergeCell ref="G26:L26"/>
    <mergeCell ref="BA21:BG21"/>
    <mergeCell ref="A46:Q46"/>
    <mergeCell ref="BA23:BG23"/>
    <mergeCell ref="DI27:DS27"/>
    <mergeCell ref="BU7:BZ7"/>
    <mergeCell ref="EO6:ET6"/>
    <mergeCell ref="AK25:AN25"/>
    <mergeCell ref="M28:AF28"/>
    <mergeCell ref="DI25:EH25"/>
    <mergeCell ref="AG36:AJ36"/>
    <mergeCell ref="CM57:DA57"/>
    <mergeCell ref="BA27:BG27"/>
    <mergeCell ref="BJ49:CB49"/>
    <mergeCell ref="AK29:AN29"/>
    <mergeCell ref="AU19:AZ19"/>
    <mergeCell ref="M29:AF29"/>
    <mergeCell ref="M23:AF23"/>
    <mergeCell ref="G19:L19"/>
    <mergeCell ref="AK31:AN31"/>
    <mergeCell ref="CZ1:DS1"/>
    <mergeCell ref="CL8:DF8"/>
    <mergeCell ref="AK32:AN32"/>
    <mergeCell ref="CL16:DG16"/>
    <mergeCell ref="BJ50:CC50"/>
    <mergeCell ref="CL17:DH17"/>
    <mergeCell ref="AU37:AZ37"/>
    <mergeCell ref="CZ24:DE24"/>
    <mergeCell ref="BX56:CC56"/>
    <mergeCell ref="G32:L32"/>
    <mergeCell ref="CM31:DF31"/>
    <mergeCell ref="CM24:CX24"/>
    <mergeCell ref="CO69:DM69"/>
    <mergeCell ref="DH8:DM8"/>
    <mergeCell ref="AG39:AN39"/>
    <mergeCell ref="AO32:AT32"/>
    <mergeCell ref="BJ46:CE46"/>
    <mergeCell ref="CM55:DK55"/>
    <mergeCell ref="DL4:EF4"/>
    <mergeCell ref="BA37:BG37"/>
    <mergeCell ref="M19:AF19"/>
    <mergeCell ref="BA24:BG24"/>
    <mergeCell ref="AG19:AJ19"/>
    <mergeCell ref="L16:V16"/>
    <mergeCell ref="AU27:AZ27"/>
    <mergeCell ref="BJ52:BX52"/>
    <mergeCell ref="AU25:AZ25"/>
    <mergeCell ref="BJ8:CD8"/>
    <mergeCell ref="BJ48:BU48"/>
    <mergeCell ref="BK61:CG61"/>
    <mergeCell ref="CL15:CZ15"/>
    <mergeCell ref="G20:L20"/>
    <mergeCell ref="CL21:DJ21"/>
    <mergeCell ref="G22:L22"/>
    <mergeCell ref="AI16:AS16"/>
    <mergeCell ref="CM62:DH62"/>
    <mergeCell ref="AK38:AN38"/>
    <mergeCell ref="BA19:BG19"/>
    <mergeCell ref="AU20:AZ20"/>
    <mergeCell ref="AK21:AN21"/>
    <mergeCell ref="AU38:AZ38"/>
    <mergeCell ref="CM44:DA44"/>
    <mergeCell ref="A26:F26"/>
    <mergeCell ref="AK37:AN37"/>
    <mergeCell ref="AL13:BF13"/>
    <mergeCell ref="G33:L33"/>
    <mergeCell ref="BA32:BG32"/>
    <mergeCell ref="BV11:CA11"/>
    <mergeCell ref="AY5:BA5"/>
    <mergeCell ref="AG20:AJ20"/>
    <mergeCell ref="G35:L35"/>
    <mergeCell ref="AW5:AX5"/>
    <mergeCell ref="CM64:DC64"/>
    <mergeCell ref="AO25:AT25"/>
    <mergeCell ref="AG22:AJ22"/>
    <mergeCell ref="CM29:DE29"/>
    <mergeCell ref="AU33:AZ33"/>
    <mergeCell ref="CM45:DK45"/>
    <mergeCell ref="CL7:CX7"/>
    <mergeCell ref="AU28:AZ28"/>
    <mergeCell ref="DB15:DG15"/>
    <mergeCell ref="DF44:DK44"/>
    <mergeCell ref="BJ9:CD9"/>
    <mergeCell ref="AU30:AZ30"/>
    <mergeCell ref="BX1:CC1"/>
    <mergeCell ref="BJ5:CC5"/>
    <mergeCell ref="BA20:BG20"/>
    <mergeCell ref="A21:F21"/>
    <mergeCell ref="CZ48:DE48"/>
    <mergeCell ref="AG33:AJ33"/>
    <mergeCell ref="BA35:BG35"/>
    <mergeCell ref="EU5:EZ5"/>
    <mergeCell ref="AI17:AJ18"/>
    <mergeCell ref="A23:F23"/>
    <mergeCell ref="AL5:AN5"/>
    <mergeCell ref="BJ58:CE58"/>
    <mergeCell ref="AG35:AJ35"/>
    <mergeCell ref="AO21:AT21"/>
    <mergeCell ref="M31:AF31"/>
    <mergeCell ref="BA38:BG38"/>
    <mergeCell ref="BM70:CK70"/>
    <mergeCell ref="AL8:AV8"/>
    <mergeCell ref="G36:L36"/>
    <mergeCell ref="BA33:BG33"/>
    <mergeCell ref="AG28:AJ28"/>
    <mergeCell ref="AU34:AZ34"/>
    <mergeCell ref="A44:AC44"/>
    <mergeCell ref="CM46:DK46"/>
    <mergeCell ref="CZ61:DE61"/>
    <mergeCell ref="CB7:CG7"/>
    <mergeCell ref="A1:BH1"/>
    <mergeCell ref="AG30:AJ30"/>
    <mergeCell ref="AU36:AZ36"/>
    <mergeCell ref="AO30:AT30"/>
    <mergeCell ref="AG23:AJ23"/>
    <mergeCell ref="CM61:CX61"/>
    <mergeCell ref="BJ17:CD17"/>
    <mergeCell ref="AK23:AN23"/>
    <mergeCell ref="AT17:AU18"/>
    <mergeCell ref="CM26:DG26"/>
    <mergeCell ref="DA11:DF11"/>
    <mergeCell ref="I9:AA9"/>
    <mergeCell ref="A29:F29"/>
    <mergeCell ref="BJ6:CC6"/>
    <mergeCell ref="CC3:CH3"/>
    <mergeCell ref="BJ12:BU12"/>
    <mergeCell ref="A31:F31"/>
    <mergeCell ref="CO72:DM72"/>
    <mergeCell ref="BA36:BG36"/>
    <mergeCell ref="EU6:EZ6"/>
    <mergeCell ref="BJ22:CE22"/>
    <mergeCell ref="A24:F24"/>
    <mergeCell ref="AO23:AT23"/>
    <mergeCell ref="CM59:DK59"/>
    <mergeCell ref="M32:AF32"/>
    <mergeCell ref="AO42:BG42"/>
    <mergeCell ref="AO37:AT37"/>
    <mergeCell ref="AO24:AT24"/>
    <mergeCell ref="AG41:AN41"/>
    <mergeCell ref="FA5:FB5"/>
    <mergeCell ref="BJ14:BY14"/>
    <mergeCell ref="AG29:AJ29"/>
    <mergeCell ref="DI30:EC30"/>
    <mergeCell ref="AG31:AJ31"/>
    <mergeCell ref="W16:AG16"/>
    <mergeCell ref="BW20:CB20"/>
    <mergeCell ref="BJ37:CG37"/>
    <mergeCell ref="BA22:BG22"/>
    <mergeCell ref="BJ24:BX24"/>
    <mergeCell ref="AK24:AN24"/>
    <mergeCell ref="M27:AF27"/>
    <mergeCell ref="DN8:DS8"/>
    <mergeCell ref="AG32:AJ32"/>
    <mergeCell ref="BJ20:BU20"/>
    <mergeCell ref="BJ1:BO1"/>
    <mergeCell ref="AK26:AN26"/>
    <mergeCell ref="W17:AH18"/>
    <mergeCell ref="CL9:DG9"/>
    <mergeCell ref="AT5:AV5"/>
    <mergeCell ref="AU16:BG16"/>
    <mergeCell ref="CL4:DG4"/>
    <mergeCell ref="AO26:AT26"/>
    <mergeCell ref="G25:L25"/>
    <mergeCell ref="BK60:BV60"/>
    <mergeCell ref="AO27:AT27"/>
    <mergeCell ref="BJ28:BQ28"/>
    <mergeCell ref="CO71:DF71"/>
    <mergeCell ref="AG42:AN42"/>
    <mergeCell ref="M24:AF24"/>
    <mergeCell ref="BJ10:CD10"/>
    <mergeCell ref="DI23:DT23"/>
    <mergeCell ref="DI29:EC29"/>
    <mergeCell ref="BV16:CA16"/>
    <mergeCell ref="AZ4:BB4"/>
    <mergeCell ref="EI5:EN5"/>
    <mergeCell ref="AK27:AN27"/>
    <mergeCell ref="AO40:BG40"/>
    <mergeCell ref="AO38:AT38"/>
    <mergeCell ref="BJ33:CH33"/>
    <mergeCell ref="DV23:EA23"/>
    <mergeCell ref="EI6:EN6"/>
    <mergeCell ref="AG25:AJ25"/>
    <mergeCell ref="DH9:DM9"/>
    <mergeCell ref="BM69:CD69"/>
    <mergeCell ref="CD1:CM1"/>
    <mergeCell ref="M37:AF37"/>
    <mergeCell ref="AL9:BC9"/>
    <mergeCell ref="CL3:CZ3"/>
    <mergeCell ref="A2:BG2"/>
    <mergeCell ref="AL11:BC11"/>
    <mergeCell ref="CM25:DG25"/>
    <mergeCell ref="BJ56:BU56"/>
    <mergeCell ref="AK22:AN22"/>
    <mergeCell ref="G28:L28"/>
    <mergeCell ref="I8:AA8"/>
    <mergeCell ref="BJ57:CE57"/>
    <mergeCell ref="G30:L30"/>
    <mergeCell ref="BA25:BG25"/>
    <mergeCell ref="CL11:CV11"/>
    <mergeCell ref="A32:F32"/>
    <mergeCell ref="A16:K16"/>
    <mergeCell ref="I6:AG6"/>
    <mergeCell ref="AU21:AZ21"/>
    <mergeCell ref="CO1:CX1"/>
    <mergeCell ref="M25:AF25"/>
    <mergeCell ref="AK33:AN33"/>
    <mergeCell ref="AU23:AZ23"/>
    <mergeCell ref="M33:AF33"/>
    <mergeCell ref="EO5:ET5"/>
    <mergeCell ref="BJ34:CH34"/>
    <mergeCell ref="CM30:DG30"/>
    <mergeCell ref="AK35:AN35"/>
    <mergeCell ref="CD20:CI20"/>
    <mergeCell ref="CL12:DF12"/>
    <mergeCell ref="CO67:DF67"/>
    <mergeCell ref="AK34:AN34"/>
    <mergeCell ref="AU35:AZ35"/>
    <mergeCell ref="A27:F27"/>
    <mergeCell ref="CL35:DK35"/>
    <mergeCell ref="G34:L34"/>
    <mergeCell ref="BV12:CA12"/>
    <mergeCell ref="AL12:BC12"/>
    <mergeCell ref="A22:F22"/>
    <mergeCell ref="CM49:DH49"/>
    <mergeCell ref="AO34:AT34"/>
    <mergeCell ref="G29:L29"/>
    <mergeCell ref="AO36:AT36"/>
    <mergeCell ref="G31:L31"/>
    <mergeCell ref="AG21:AJ21"/>
    <mergeCell ref="AR5:AS5"/>
    <mergeCell ref="BJ32:BQ32"/>
    <mergeCell ref="BA28:BG28"/>
    <mergeCell ref="AU29:AZ29"/>
    <mergeCell ref="BA30:BG30"/>
    <mergeCell ref="AO39:BG39"/>
    <mergeCell ref="AU31:AZ31"/>
    <mergeCell ref="A47:S47"/>
    <mergeCell ref="AU24:AZ24"/>
    <mergeCell ref="BW32:CB32"/>
    <mergeCell ref="M34:AF34"/>
    <mergeCell ref="BJ4:CC4"/>
    <mergeCell ref="CL40:DJ40"/>
    <mergeCell ref="CL38:CW38"/>
    <mergeCell ref="BJ36:BX36"/>
    <mergeCell ref="CL5:DG5"/>
    <mergeCell ref="A38:AF42"/>
    <mergeCell ref="CL19:CZ19"/>
    <mergeCell ref="AK36:AN36"/>
    <mergeCell ref="AU26:AZ26"/>
    <mergeCell ref="CL13:DF13"/>
    <mergeCell ref="CL20:DJ20"/>
    <mergeCell ref="A19:F19"/>
    <mergeCell ref="DE38:DJ38"/>
    <mergeCell ref="BM71:CK71"/>
    <mergeCell ref="AL7:AX7"/>
    <mergeCell ref="CM50:DH50"/>
    <mergeCell ref="BR1:BW1"/>
    <mergeCell ref="CM58:DK58"/>
    <mergeCell ref="BA34:BG34"/>
    <mergeCell ref="C14:Z14"/>
    <mergeCell ref="BJ25:CD25"/>
    <mergeCell ref="AL10:AY10"/>
    <mergeCell ref="G37:L37"/>
    <mergeCell ref="FA6:FB6"/>
    <mergeCell ref="AK17:AS18"/>
    <mergeCell ref="BK66:CB66"/>
    <mergeCell ref="A37:F37"/>
    <mergeCell ref="BA29:BG29"/>
    <mergeCell ref="AL6:BE6"/>
    <mergeCell ref="AG24:AJ24"/>
    <mergeCell ref="CN28:CY28"/>
    <mergeCell ref="A17:K18"/>
    <mergeCell ref="BA31:BG31"/>
    <mergeCell ref="AG26:AJ26"/>
    <mergeCell ref="AU32:AZ32"/>
    <mergeCell ref="M20:AF20"/>
    <mergeCell ref="I4:Z4"/>
    <mergeCell ref="AK19:AN19"/>
    <mergeCell ref="M22:AF22"/>
    <mergeCell ref="BY24:CD24"/>
    <mergeCell ref="CM63:DH63"/>
    <mergeCell ref="DD19:DI19"/>
    <mergeCell ref="DI28:EC28"/>
    <mergeCell ref="G27:L27"/>
    <mergeCell ref="BJ21:CE21"/>
    <mergeCell ref="CL36:DK36"/>
    <mergeCell ref="A25:F25"/>
  </mergeCells>
  <pageMargins left="0.7086614173228347" right="0.7086614173228347" top="0.7480314960629921" bottom="0.7480314960629921" header="0.3149606299212598" footer="0.3149606299212598"/>
  <pageSetup orientation="portrait" paperSize="9" scale="9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chubusystem</dc:creator>
  <dcterms:created xmlns:dcterms="http://purl.org/dc/terms/" xmlns:xsi="http://www.w3.org/2001/XMLSchema-instance" xsi:type="dcterms:W3CDTF">2014-02-14T07:51:59Z</dcterms:created>
  <dcterms:modified xmlns:dcterms="http://purl.org/dc/terms/" xmlns:xsi="http://www.w3.org/2001/XMLSchema-instance" xsi:type="dcterms:W3CDTF">2026-09-27T15:46:08Z</dcterms:modified>
  <cp:lastModifiedBy>user</cp:lastModifiedBy>
  <cp:lastPrinted>2026-05-14T07:48:03Z</cp:lastPrinted>
</cp:coreProperties>
</file>