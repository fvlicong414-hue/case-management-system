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defaultThemeVersion="124226"/>
  <mc:AlternateContent xmlns:mc="http://schemas.openxmlformats.org/markup-compatibility/2006">
    <mc:Choice Requires="x15">
      <x15ac:absPath xmlns:x15ac="http://schemas.microsoft.com/office/spreadsheetml/2010/11/ac" url="C:\Users\ChubSystem03\Desktop\"/>
    </mc:Choice>
  </mc:AlternateContent>
  <xr:revisionPtr revIDLastSave="0" documentId="13_ncr:1_{278AA624-BF5A-42E0-93BA-2211E8A961B2}" xr6:coauthVersionLast="47" xr6:coauthVersionMax="47" xr10:uidLastSave="{00000000-0000-0000-0000-000000000000}"/>
  <bookViews>
    <workbookView xWindow="-120" yWindow="-120" windowWidth="20730" windowHeight="11040" xr2:uid="{00000000-000D-0000-FFFF-FFFF00000000}"/>
  </bookViews>
  <sheets>
    <sheet name="修　理" sheetId="2" r:id="rId1"/>
    <sheet name="手配書" sheetId="13" r:id="rId2"/>
    <sheet name="指示書" sheetId="14" r:id="rId3"/>
    <sheet name="修理１" sheetId="7" r:id="rId4"/>
    <sheet name="手配書1" sheetId="16" r:id="rId5"/>
    <sheet name="指示書1" sheetId="17" r:id="rId6"/>
    <sheet name="新規" sheetId="18" r:id="rId7"/>
    <sheet name="アイメイ" sheetId="19" r:id="rId8"/>
    <sheet name="豊和発注書" sheetId="20" r:id="rId9"/>
    <sheet name="メモ書き" sheetId="21" r:id="rId10"/>
  </sheets>
  <externalReferences>
    <externalReference r:id="rId11"/>
  </externalReferences>
  <definedNames>
    <definedName name="_xlnm.Print_Area" localSheetId="7">アイメイ!$A$1:$S$89</definedName>
    <definedName name="_xlnm.Print_Area" localSheetId="2">指示書!$A$1:$O$35</definedName>
    <definedName name="_xlnm.Print_Area" localSheetId="5">指示書1!$A$1:$O$37</definedName>
    <definedName name="_xlnm.Print_Area" localSheetId="1">手配書!$A$1:$L$42</definedName>
    <definedName name="_xlnm.Print_Area" localSheetId="4">手配書1!$A$1:$L$42</definedName>
    <definedName name="_xlnm.Print_Area" localSheetId="0">'修　理'!$A$1:$J$49</definedName>
    <definedName name="_xlnm.Print_Area" localSheetId="3">修理１!$A$1:$J$49</definedName>
    <definedName name="_xlnm.Print_Area" localSheetId="6">新規!$A$1:$J$49</definedName>
    <definedName name="_xlnm.Print_Area" localSheetId="8">豊和発注書!$A$1:$N$37</definedName>
  </definedNames>
  <calcPr calcId="191029"/>
</workbook>
</file>

<file path=xl/calcChain.xml><?xml version="1.0" encoding="utf-8"?>
<calcChain xmlns="http://schemas.openxmlformats.org/spreadsheetml/2006/main">
  <c r="C13" i="16" l="1"/>
  <c r="C14" i="16"/>
  <c r="C16" i="16"/>
  <c r="C17" i="16"/>
  <c r="C18" i="16"/>
  <c r="C19" i="16"/>
  <c r="C20" i="16"/>
  <c r="C21" i="16"/>
  <c r="C22" i="16"/>
  <c r="C23" i="16"/>
  <c r="C24" i="16"/>
  <c r="C25" i="16"/>
  <c r="C26" i="16"/>
  <c r="C27" i="16"/>
  <c r="C28" i="16"/>
  <c r="C29" i="16"/>
  <c r="C30" i="16"/>
  <c r="C31" i="16"/>
  <c r="B13" i="16"/>
  <c r="K13" i="16" s="1"/>
  <c r="B14" i="16"/>
  <c r="L18" i="14"/>
  <c r="L19" i="14"/>
  <c r="L20" i="14"/>
  <c r="L21" i="14"/>
  <c r="L22" i="14"/>
  <c r="L23" i="14"/>
  <c r="L24" i="14"/>
  <c r="L25" i="14"/>
  <c r="L26" i="14"/>
  <c r="L27" i="14"/>
  <c r="L28" i="14"/>
  <c r="L29" i="14"/>
  <c r="L30" i="14"/>
  <c r="L31" i="14"/>
  <c r="L32" i="14"/>
  <c r="L33" i="14"/>
  <c r="L34" i="14"/>
  <c r="J18" i="14"/>
  <c r="J19" i="14"/>
  <c r="J20" i="14"/>
  <c r="J21" i="14"/>
  <c r="J22" i="14"/>
  <c r="J23" i="14"/>
  <c r="J24" i="14"/>
  <c r="J25" i="14"/>
  <c r="J26" i="14"/>
  <c r="J27" i="14"/>
  <c r="J28" i="14"/>
  <c r="J29" i="14"/>
  <c r="J30" i="14"/>
  <c r="J31" i="14"/>
  <c r="J32" i="14"/>
  <c r="J33" i="14"/>
  <c r="J34" i="14"/>
  <c r="L17" i="14"/>
  <c r="J17" i="14"/>
  <c r="L19" i="17"/>
  <c r="L20" i="17"/>
  <c r="L21" i="17"/>
  <c r="L22" i="17"/>
  <c r="L23" i="17"/>
  <c r="L24" i="17"/>
  <c r="L25" i="17"/>
  <c r="L26" i="17"/>
  <c r="L27" i="17"/>
  <c r="L28" i="17"/>
  <c r="L29" i="17"/>
  <c r="L30" i="17"/>
  <c r="L31" i="17"/>
  <c r="L32" i="17"/>
  <c r="L33" i="17"/>
  <c r="L34" i="17"/>
  <c r="L35" i="17"/>
  <c r="L36" i="17"/>
  <c r="L37" i="17"/>
  <c r="J19" i="17"/>
  <c r="J20" i="17"/>
  <c r="J21" i="17"/>
  <c r="J22" i="17"/>
  <c r="J23" i="17"/>
  <c r="J24" i="17"/>
  <c r="J25" i="17"/>
  <c r="J26" i="17"/>
  <c r="J27" i="17"/>
  <c r="J28" i="17"/>
  <c r="J29" i="17"/>
  <c r="J30" i="17"/>
  <c r="J31" i="17"/>
  <c r="J32" i="17"/>
  <c r="J33" i="17"/>
  <c r="J34" i="17"/>
  <c r="J35" i="17"/>
  <c r="J36" i="17"/>
  <c r="J37" i="17"/>
  <c r="L18" i="17"/>
  <c r="J18" i="17"/>
  <c r="C15" i="16"/>
  <c r="C32" i="16"/>
  <c r="B15" i="16"/>
  <c r="B16" i="16"/>
  <c r="K16" i="16" s="1"/>
  <c r="L16" i="16" s="1"/>
  <c r="B17" i="16"/>
  <c r="K17" i="16" s="1"/>
  <c r="L17" i="16" s="1"/>
  <c r="B18" i="16"/>
  <c r="K18" i="16" s="1"/>
  <c r="L18" i="16" s="1"/>
  <c r="B19" i="16"/>
  <c r="K19" i="16" s="1"/>
  <c r="L19" i="16" s="1"/>
  <c r="B20" i="16"/>
  <c r="B21" i="16"/>
  <c r="B22" i="16"/>
  <c r="B23" i="16"/>
  <c r="B24" i="16"/>
  <c r="B25" i="16"/>
  <c r="B26" i="16"/>
  <c r="B27" i="16"/>
  <c r="B28" i="16"/>
  <c r="B29" i="16"/>
  <c r="B30" i="16"/>
  <c r="B31" i="16"/>
  <c r="B32" i="16"/>
  <c r="I39" i="18"/>
  <c r="C14" i="13"/>
  <c r="C15" i="13"/>
  <c r="C16" i="13"/>
  <c r="C17" i="13"/>
  <c r="C18" i="13"/>
  <c r="C19" i="13"/>
  <c r="C20" i="13"/>
  <c r="C21" i="13"/>
  <c r="C22" i="13"/>
  <c r="C23" i="13"/>
  <c r="C24" i="13"/>
  <c r="C25" i="13"/>
  <c r="C26" i="13"/>
  <c r="C27" i="13"/>
  <c r="C28" i="13"/>
  <c r="C29" i="13"/>
  <c r="C30" i="13"/>
  <c r="C31" i="13"/>
  <c r="C32" i="13"/>
  <c r="B14" i="13"/>
  <c r="B15" i="13"/>
  <c r="B16" i="13"/>
  <c r="B17" i="13"/>
  <c r="B18" i="13"/>
  <c r="B19" i="13"/>
  <c r="B20" i="13"/>
  <c r="B21" i="13"/>
  <c r="B22" i="13"/>
  <c r="B23" i="13"/>
  <c r="B24" i="13"/>
  <c r="B25" i="13"/>
  <c r="B26" i="13"/>
  <c r="B27" i="13"/>
  <c r="B28" i="13"/>
  <c r="B29" i="13"/>
  <c r="K29" i="13" s="1"/>
  <c r="L29" i="13" s="1"/>
  <c r="B30" i="13"/>
  <c r="K30" i="13" s="1"/>
  <c r="L30" i="13" s="1"/>
  <c r="B31" i="13"/>
  <c r="K31" i="13" s="1"/>
  <c r="L31" i="13" s="1"/>
  <c r="B32" i="13"/>
  <c r="K32" i="13" s="1"/>
  <c r="L32" i="13" s="1"/>
  <c r="B13" i="13"/>
  <c r="C13" i="13"/>
  <c r="K14" i="16" l="1"/>
  <c r="L14" i="16" s="1"/>
  <c r="K15" i="16"/>
  <c r="L15" i="16" s="1"/>
  <c r="K20" i="16"/>
  <c r="L20" i="16" s="1"/>
  <c r="K21" i="16"/>
  <c r="L21" i="16" s="1"/>
  <c r="K22" i="16"/>
  <c r="L22" i="16" s="1"/>
  <c r="K23" i="16"/>
  <c r="L23" i="16" s="1"/>
  <c r="K24" i="16"/>
  <c r="L24" i="16" s="1"/>
  <c r="K25" i="16"/>
  <c r="L25" i="16" s="1"/>
  <c r="K26" i="16"/>
  <c r="L26" i="16" s="1"/>
  <c r="K27" i="16"/>
  <c r="L27" i="16" s="1"/>
  <c r="K28" i="16"/>
  <c r="L28" i="16" s="1"/>
  <c r="K29" i="16"/>
  <c r="L29" i="16" s="1"/>
  <c r="K30" i="16"/>
  <c r="L30" i="16" s="1"/>
  <c r="K31" i="16"/>
  <c r="L31" i="16" s="1"/>
  <c r="K32" i="16"/>
  <c r="L32" i="16" s="1"/>
  <c r="L13" i="16"/>
  <c r="K13" i="13"/>
  <c r="L33" i="16" l="1"/>
  <c r="K33" i="16"/>
  <c r="I44" i="2"/>
  <c r="K14" i="13"/>
  <c r="L14" i="13" s="1"/>
  <c r="K15" i="13"/>
  <c r="L15" i="13" s="1"/>
  <c r="K16" i="13"/>
  <c r="L16" i="13" s="1"/>
  <c r="K17" i="13"/>
  <c r="L17" i="13" s="1"/>
  <c r="K18" i="13"/>
  <c r="L18" i="13" s="1"/>
  <c r="K19" i="13"/>
  <c r="L19" i="13" s="1"/>
  <c r="K20" i="13"/>
  <c r="L20" i="13" s="1"/>
  <c r="K21" i="13"/>
  <c r="L21" i="13" s="1"/>
  <c r="K22" i="13"/>
  <c r="L22" i="13" s="1"/>
  <c r="K23" i="13"/>
  <c r="L23" i="13" s="1"/>
  <c r="K24" i="13"/>
  <c r="L24" i="13" s="1"/>
  <c r="K25" i="13"/>
  <c r="L25" i="13" s="1"/>
  <c r="K26" i="13"/>
  <c r="L26" i="13" s="1"/>
  <c r="K27" i="13"/>
  <c r="L27" i="13" s="1"/>
  <c r="K28" i="13"/>
  <c r="L28" i="13" s="1"/>
  <c r="K33" i="13" l="1"/>
  <c r="L13" i="13"/>
  <c r="I44" i="7"/>
  <c r="I231" i="7"/>
  <c r="I230" i="7"/>
  <c r="I229" i="7"/>
  <c r="I228" i="7"/>
  <c r="I227" i="7"/>
  <c r="I226" i="7"/>
  <c r="I225" i="7"/>
  <c r="I224" i="7"/>
  <c r="I223" i="7"/>
  <c r="I222" i="7"/>
  <c r="I221" i="7"/>
  <c r="I220" i="7"/>
  <c r="I210" i="7"/>
  <c r="I209" i="7"/>
  <c r="I208" i="7"/>
  <c r="I207" i="7"/>
  <c r="I206" i="7"/>
  <c r="I205" i="7"/>
  <c r="I204" i="7"/>
  <c r="I203" i="7"/>
  <c r="I202" i="7"/>
  <c r="I201" i="7"/>
  <c r="I200" i="7"/>
  <c r="I199" i="7"/>
  <c r="I180" i="7"/>
  <c r="I179" i="7"/>
  <c r="I178" i="7"/>
  <c r="I177" i="7"/>
  <c r="I176" i="7"/>
  <c r="I175" i="7"/>
  <c r="I174" i="7"/>
  <c r="I173" i="7"/>
  <c r="I172" i="7"/>
  <c r="I171" i="7"/>
  <c r="I170" i="7"/>
  <c r="J259" i="7"/>
  <c r="H259" i="7"/>
  <c r="I169" i="7"/>
  <c r="L33" i="13" l="1"/>
  <c r="I182" i="7"/>
  <c r="I184" i="7" s="1"/>
  <c r="I212" i="7"/>
  <c r="I214" i="7" s="1"/>
  <c r="I233" i="7"/>
  <c r="I235" i="7" s="1"/>
</calcChain>
</file>

<file path=xl/sharedStrings.xml><?xml version="1.0" encoding="utf-8"?>
<sst xmlns="http://schemas.openxmlformats.org/spreadsheetml/2006/main" count="3054" uniqueCount="1223">
  <si>
    <t>下記の通りお見積り申し上げます。</t>
    <rPh sb="0" eb="2">
      <t>カキ</t>
    </rPh>
    <rPh sb="3" eb="4">
      <t>トオ</t>
    </rPh>
    <rPh sb="6" eb="8">
      <t>ミツモ</t>
    </rPh>
    <rPh sb="9" eb="10">
      <t>モウ</t>
    </rPh>
    <rPh sb="11" eb="12">
      <t>ア</t>
    </rPh>
    <phoneticPr fontId="1"/>
  </si>
  <si>
    <t>本見積り金額には消費税は含まれておりませんので</t>
    <rPh sb="0" eb="1">
      <t>ホン</t>
    </rPh>
    <rPh sb="1" eb="3">
      <t>ミツモ</t>
    </rPh>
    <rPh sb="4" eb="6">
      <t>キンガク</t>
    </rPh>
    <rPh sb="8" eb="11">
      <t>ショウヒゼイ</t>
    </rPh>
    <rPh sb="12" eb="13">
      <t>フク</t>
    </rPh>
    <phoneticPr fontId="1"/>
  </si>
  <si>
    <t>ご契約に際しては、消費税を別途計上願います。</t>
    <rPh sb="1" eb="3">
      <t>ケイヤク</t>
    </rPh>
    <rPh sb="4" eb="5">
      <t>サイ</t>
    </rPh>
    <rPh sb="9" eb="12">
      <t>ショウヒゼイ</t>
    </rPh>
    <rPh sb="13" eb="14">
      <t>ベツ</t>
    </rPh>
    <rPh sb="14" eb="15">
      <t>ト</t>
    </rPh>
    <rPh sb="15" eb="17">
      <t>ケイジョウ</t>
    </rPh>
    <rPh sb="17" eb="18">
      <t>ネガ</t>
    </rPh>
    <phoneticPr fontId="1"/>
  </si>
  <si>
    <t>中部システム工業株式会社</t>
    <rPh sb="0" eb="2">
      <t>チュウブ</t>
    </rPh>
    <rPh sb="6" eb="8">
      <t>コウギョウ</t>
    </rPh>
    <rPh sb="8" eb="9">
      <t>カブ</t>
    </rPh>
    <rPh sb="9" eb="10">
      <t>シキ</t>
    </rPh>
    <rPh sb="10" eb="12">
      <t>ガイシャ</t>
    </rPh>
    <phoneticPr fontId="1"/>
  </si>
  <si>
    <t>御　　　　見　　　　積　　　　書</t>
    <rPh sb="0" eb="1">
      <t>オ</t>
    </rPh>
    <rPh sb="5" eb="6">
      <t>ケン</t>
    </rPh>
    <rPh sb="10" eb="11">
      <t>セキ</t>
    </rPh>
    <rPh sb="15" eb="16">
      <t>ショ</t>
    </rPh>
    <phoneticPr fontId="1"/>
  </si>
  <si>
    <t>様</t>
    <rPh sb="0" eb="1">
      <t>サマ</t>
    </rPh>
    <phoneticPr fontId="1"/>
  </si>
  <si>
    <t>工事名</t>
    <rPh sb="0" eb="2">
      <t>コウジ</t>
    </rPh>
    <rPh sb="2" eb="3">
      <t>メイ</t>
    </rPh>
    <phoneticPr fontId="1"/>
  </si>
  <si>
    <t>取引条件</t>
    <rPh sb="0" eb="2">
      <t>トリヒキ</t>
    </rPh>
    <rPh sb="2" eb="4">
      <t>ジョウケン</t>
    </rPh>
    <phoneticPr fontId="1"/>
  </si>
  <si>
    <t>有効期間</t>
    <rPh sb="0" eb="2">
      <t>ユウコウ</t>
    </rPh>
    <rPh sb="2" eb="4">
      <t>キカン</t>
    </rPh>
    <phoneticPr fontId="1"/>
  </si>
  <si>
    <t>納入場所</t>
    <rPh sb="0" eb="2">
      <t>ノウニュウ</t>
    </rPh>
    <rPh sb="2" eb="4">
      <t>バショ</t>
    </rPh>
    <phoneticPr fontId="1"/>
  </si>
  <si>
    <t>納期</t>
    <rPh sb="0" eb="2">
      <t>ノウキ</t>
    </rPh>
    <phoneticPr fontId="1"/>
  </si>
  <si>
    <t>森本</t>
    <rPh sb="0" eb="2">
      <t>モリモト</t>
    </rPh>
    <phoneticPr fontId="1"/>
  </si>
  <si>
    <t>見積金額</t>
    <rPh sb="0" eb="2">
      <t>ミツモリ</t>
    </rPh>
    <rPh sb="2" eb="4">
      <t>キンガク</t>
    </rPh>
    <phoneticPr fontId="1"/>
  </si>
  <si>
    <t>NET</t>
    <phoneticPr fontId="1"/>
  </si>
  <si>
    <t>窓符号</t>
    <rPh sb="0" eb="1">
      <t>マド</t>
    </rPh>
    <rPh sb="1" eb="2">
      <t>フ</t>
    </rPh>
    <rPh sb="2" eb="3">
      <t>ゴウ</t>
    </rPh>
    <phoneticPr fontId="1"/>
  </si>
  <si>
    <t>単価</t>
    <rPh sb="0" eb="2">
      <t>タンカ</t>
    </rPh>
    <phoneticPr fontId="1"/>
  </si>
  <si>
    <t>金額</t>
    <rPh sb="0" eb="2">
      <t>キンガク</t>
    </rPh>
    <phoneticPr fontId="1"/>
  </si>
  <si>
    <t>備考</t>
    <rPh sb="0" eb="2">
      <t>ビコウ</t>
    </rPh>
    <phoneticPr fontId="1"/>
  </si>
  <si>
    <t>単位</t>
    <rPh sb="0" eb="2">
      <t>タンイ</t>
    </rPh>
    <phoneticPr fontId="1"/>
  </si>
  <si>
    <t>数量</t>
    <rPh sb="0" eb="2">
      <t>スウリョウ</t>
    </rPh>
    <phoneticPr fontId="1"/>
  </si>
  <si>
    <t>名　　　　　　　称</t>
    <rPh sb="0" eb="1">
      <t>ナ</t>
    </rPh>
    <rPh sb="8" eb="9">
      <t>ショウ</t>
    </rPh>
    <phoneticPr fontId="1"/>
  </si>
  <si>
    <t>　９０日間</t>
    <rPh sb="3" eb="4">
      <t>ヒ</t>
    </rPh>
    <rPh sb="4" eb="5">
      <t>アイダ</t>
    </rPh>
    <phoneticPr fontId="1"/>
  </si>
  <si>
    <t>　現場取付渡し</t>
    <rPh sb="1" eb="3">
      <t>ゲンバ</t>
    </rPh>
    <rPh sb="3" eb="4">
      <t>ト</t>
    </rPh>
    <rPh sb="4" eb="5">
      <t>ツ</t>
    </rPh>
    <rPh sb="5" eb="6">
      <t>ワタ</t>
    </rPh>
    <phoneticPr fontId="1"/>
  </si>
  <si>
    <t>　お打ち合わせ</t>
    <rPh sb="2" eb="3">
      <t>ウ</t>
    </rPh>
    <rPh sb="4" eb="5">
      <t>ア</t>
    </rPh>
    <phoneticPr fontId="1"/>
  </si>
  <si>
    <t>〒４５４－０９８１</t>
    <phoneticPr fontId="1"/>
  </si>
  <si>
    <t>名古屋市中川区吉津１丁目２１０９番地</t>
    <rPh sb="0" eb="4">
      <t>ナゴヤシ</t>
    </rPh>
    <rPh sb="4" eb="7">
      <t>ナカガワク</t>
    </rPh>
    <rPh sb="7" eb="8">
      <t>ヨシ</t>
    </rPh>
    <rPh sb="8" eb="9">
      <t>ツ</t>
    </rPh>
    <rPh sb="10" eb="12">
      <t>チョウメ</t>
    </rPh>
    <rPh sb="16" eb="18">
      <t>バンチ</t>
    </rPh>
    <phoneticPr fontId="1"/>
  </si>
  <si>
    <t>アクティブ名古屋西アントレ　E 号</t>
    <rPh sb="5" eb="8">
      <t>ナゴヤ</t>
    </rPh>
    <rPh sb="8" eb="9">
      <t>ニシ</t>
    </rPh>
    <rPh sb="16" eb="17">
      <t>ゴウ</t>
    </rPh>
    <phoneticPr fontId="1"/>
  </si>
  <si>
    <t>ＴＥＬ　０５２－４１４－４５８０</t>
    <phoneticPr fontId="1"/>
  </si>
  <si>
    <t>　　　　　ＦＡＸ　０５２－４１４－４５８１</t>
    <phoneticPr fontId="1"/>
  </si>
  <si>
    <t>単　価</t>
    <rPh sb="0" eb="1">
      <t>タン</t>
    </rPh>
    <rPh sb="2" eb="3">
      <t>アタイ</t>
    </rPh>
    <phoneticPr fontId="1"/>
  </si>
  <si>
    <t>御中</t>
    <rPh sb="0" eb="2">
      <t>オンチュウ</t>
    </rPh>
    <phoneticPr fontId="1"/>
  </si>
  <si>
    <t>合計</t>
    <rPh sb="0" eb="2">
      <t>ゴウケイ</t>
    </rPh>
    <phoneticPr fontId="1"/>
  </si>
  <si>
    <t>～仕様条件～</t>
    <rPh sb="1" eb="3">
      <t>シヨウ</t>
    </rPh>
    <rPh sb="3" eb="5">
      <t>ジョウケン</t>
    </rPh>
    <phoneticPr fontId="1"/>
  </si>
  <si>
    <t>※　明記された部品以外の交換が必要な場合の製品代金は含まれておりません。</t>
    <rPh sb="2" eb="4">
      <t>メイキ</t>
    </rPh>
    <rPh sb="7" eb="9">
      <t>ブヒン</t>
    </rPh>
    <rPh sb="9" eb="11">
      <t>イガイ</t>
    </rPh>
    <rPh sb="12" eb="14">
      <t>コウカン</t>
    </rPh>
    <rPh sb="15" eb="17">
      <t>ヒツヨウ</t>
    </rPh>
    <rPh sb="18" eb="20">
      <t>バアイ</t>
    </rPh>
    <rPh sb="21" eb="23">
      <t>セイヒン</t>
    </rPh>
    <rPh sb="23" eb="25">
      <t>ダイキン</t>
    </rPh>
    <rPh sb="26" eb="27">
      <t>フク</t>
    </rPh>
    <phoneticPr fontId="1"/>
  </si>
  <si>
    <t>※　上記お見積りに際し様式その他変更の場合は、再度お見積りとします。</t>
    <rPh sb="2" eb="4">
      <t>ジョウキ</t>
    </rPh>
    <rPh sb="5" eb="7">
      <t>ミツモ</t>
    </rPh>
    <rPh sb="9" eb="10">
      <t>サイ</t>
    </rPh>
    <rPh sb="11" eb="13">
      <t>ヨウシキ</t>
    </rPh>
    <rPh sb="15" eb="16">
      <t>タ</t>
    </rPh>
    <rPh sb="16" eb="18">
      <t>ヘンコウ</t>
    </rPh>
    <rPh sb="19" eb="21">
      <t>バアイ</t>
    </rPh>
    <rPh sb="23" eb="25">
      <t>サイド</t>
    </rPh>
    <rPh sb="26" eb="28">
      <t>ミツモ</t>
    </rPh>
    <phoneticPr fontId="1"/>
  </si>
  <si>
    <t>終端ネジ</t>
    <rPh sb="0" eb="2">
      <t>シュウタン</t>
    </rPh>
    <phoneticPr fontId="1"/>
  </si>
  <si>
    <t>コネクターセット</t>
    <phoneticPr fontId="1"/>
  </si>
  <si>
    <t>埋込ジョインター</t>
    <rPh sb="0" eb="2">
      <t>ウメコミ</t>
    </rPh>
    <phoneticPr fontId="1"/>
  </si>
  <si>
    <t>尾畑長硝子 株式会社鈴鹿営業所</t>
    <rPh sb="0" eb="2">
      <t>オバタ</t>
    </rPh>
    <rPh sb="2" eb="3">
      <t>ナガ</t>
    </rPh>
    <rPh sb="3" eb="5">
      <t>ガラス</t>
    </rPh>
    <rPh sb="6" eb="8">
      <t>カブシキ</t>
    </rPh>
    <rPh sb="8" eb="10">
      <t>ガイシャ</t>
    </rPh>
    <rPh sb="10" eb="12">
      <t>スズカ</t>
    </rPh>
    <rPh sb="12" eb="15">
      <t>エイギョウショ</t>
    </rPh>
    <phoneticPr fontId="1"/>
  </si>
  <si>
    <t>台</t>
    <rPh sb="0" eb="1">
      <t>ダイ</t>
    </rPh>
    <phoneticPr fontId="1"/>
  </si>
  <si>
    <t>コネクターセット A 耐蝕</t>
    <rPh sb="11" eb="13">
      <t>タイショク</t>
    </rPh>
    <phoneticPr fontId="1"/>
  </si>
  <si>
    <t>コネクターセット C 耐蝕</t>
    <rPh sb="11" eb="13">
      <t>タイショク</t>
    </rPh>
    <phoneticPr fontId="1"/>
  </si>
  <si>
    <t>チェーンケース W 耐蝕</t>
    <rPh sb="10" eb="12">
      <t>タイショク</t>
    </rPh>
    <phoneticPr fontId="1"/>
  </si>
  <si>
    <t>チェーンケース S 耐蝕</t>
    <rPh sb="10" eb="12">
      <t>タイショク</t>
    </rPh>
    <phoneticPr fontId="1"/>
  </si>
  <si>
    <t>障子金具　首振り</t>
    <rPh sb="0" eb="2">
      <t>ショウジ</t>
    </rPh>
    <rPh sb="2" eb="4">
      <t>カナグ</t>
    </rPh>
    <rPh sb="5" eb="6">
      <t>クビ</t>
    </rPh>
    <rPh sb="6" eb="7">
      <t>フ</t>
    </rPh>
    <phoneticPr fontId="1"/>
  </si>
  <si>
    <t>障子金具　</t>
    <rPh sb="0" eb="2">
      <t>ショウジ</t>
    </rPh>
    <rPh sb="2" eb="4">
      <t>カナグ</t>
    </rPh>
    <phoneticPr fontId="1"/>
  </si>
  <si>
    <t>レール取付BRT</t>
    <rPh sb="3" eb="5">
      <t>トリツケ</t>
    </rPh>
    <phoneticPr fontId="1"/>
  </si>
  <si>
    <t>レール取付BRT　L型</t>
    <rPh sb="3" eb="5">
      <t>トリツケ</t>
    </rPh>
    <rPh sb="10" eb="11">
      <t>ガタ</t>
    </rPh>
    <phoneticPr fontId="1"/>
  </si>
  <si>
    <t>H</t>
    <phoneticPr fontId="1"/>
  </si>
  <si>
    <t>B</t>
    <phoneticPr fontId="1"/>
  </si>
  <si>
    <t>A</t>
    <phoneticPr fontId="1"/>
  </si>
  <si>
    <t>-</t>
    <phoneticPr fontId="1"/>
  </si>
  <si>
    <t>SLA　30003-2</t>
  </si>
  <si>
    <t>外倒し用チェーンケース</t>
    <rPh sb="0" eb="2">
      <t>ソトタオ</t>
    </rPh>
    <rPh sb="3" eb="4">
      <t>ヨウ</t>
    </rPh>
    <phoneticPr fontId="1"/>
  </si>
  <si>
    <t>特管　５５０用</t>
    <rPh sb="0" eb="1">
      <t>トク</t>
    </rPh>
    <rPh sb="1" eb="2">
      <t>カン</t>
    </rPh>
    <rPh sb="6" eb="7">
      <t>ヨウ</t>
    </rPh>
    <phoneticPr fontId="1"/>
  </si>
  <si>
    <t>特管　２５０・３００用</t>
    <rPh sb="0" eb="1">
      <t>トク</t>
    </rPh>
    <rPh sb="1" eb="2">
      <t>カン</t>
    </rPh>
    <rPh sb="10" eb="11">
      <t>ヨウ</t>
    </rPh>
    <phoneticPr fontId="1"/>
  </si>
  <si>
    <t>曲げパイプ　鉄</t>
    <rPh sb="0" eb="1">
      <t>マ</t>
    </rPh>
    <rPh sb="6" eb="7">
      <t>テツ</t>
    </rPh>
    <phoneticPr fontId="1"/>
  </si>
  <si>
    <t>曲げパイプ　アルミ</t>
    <rPh sb="0" eb="1">
      <t>マ</t>
    </rPh>
    <phoneticPr fontId="1"/>
  </si>
  <si>
    <t>転向ユニット　A</t>
    <rPh sb="0" eb="2">
      <t>テンコウ</t>
    </rPh>
    <phoneticPr fontId="1"/>
  </si>
  <si>
    <t>転向ユニット　B</t>
    <rPh sb="0" eb="2">
      <t>テンコウ</t>
    </rPh>
    <phoneticPr fontId="1"/>
  </si>
  <si>
    <t>SLA　30020-B　　標準</t>
    <rPh sb="13" eb="15">
      <t>ヒョウジュン</t>
    </rPh>
    <phoneticPr fontId="1"/>
  </si>
  <si>
    <t>V型スクリュージャッキ</t>
    <rPh sb="1" eb="2">
      <t>ガタ</t>
    </rPh>
    <phoneticPr fontId="1"/>
  </si>
  <si>
    <t>枠滑車　C</t>
    <rPh sb="0" eb="1">
      <t>ワク</t>
    </rPh>
    <rPh sb="1" eb="3">
      <t>カッシャ</t>
    </rPh>
    <phoneticPr fontId="1"/>
  </si>
  <si>
    <t>枠滑車　D</t>
    <rPh sb="0" eb="1">
      <t>ワク</t>
    </rPh>
    <rPh sb="1" eb="3">
      <t>カッシャ</t>
    </rPh>
    <phoneticPr fontId="1"/>
  </si>
  <si>
    <t>障子滑車</t>
    <rPh sb="0" eb="2">
      <t>ショウジ</t>
    </rPh>
    <rPh sb="2" eb="4">
      <t>カッシャ</t>
    </rPh>
    <phoneticPr fontId="1"/>
  </si>
  <si>
    <t>丸ステイ</t>
    <rPh sb="0" eb="1">
      <t>マル</t>
    </rPh>
    <phoneticPr fontId="1"/>
  </si>
  <si>
    <t>１００本体</t>
    <rPh sb="3" eb="5">
      <t>ホンタイ</t>
    </rPh>
    <phoneticPr fontId="1"/>
  </si>
  <si>
    <t>MTG-70</t>
    <phoneticPr fontId="1"/>
  </si>
  <si>
    <t>外 ステイBRT枠</t>
    <rPh sb="0" eb="1">
      <t>ソト</t>
    </rPh>
    <rPh sb="8" eb="9">
      <t>ワク</t>
    </rPh>
    <phoneticPr fontId="1"/>
  </si>
  <si>
    <t>外 ステイBRT障子</t>
    <rPh sb="0" eb="1">
      <t>ソト</t>
    </rPh>
    <rPh sb="8" eb="10">
      <t>ショウジ</t>
    </rPh>
    <phoneticPr fontId="1"/>
  </si>
  <si>
    <t>内倒しブラケット</t>
    <rPh sb="0" eb="2">
      <t>ウチタオ</t>
    </rPh>
    <phoneticPr fontId="1"/>
  </si>
  <si>
    <t>内 ステイBRT枠</t>
    <rPh sb="0" eb="1">
      <t>ウチ</t>
    </rPh>
    <rPh sb="8" eb="9">
      <t>ワク</t>
    </rPh>
    <phoneticPr fontId="1"/>
  </si>
  <si>
    <t>内 ステイBRT障子</t>
    <rPh sb="0" eb="1">
      <t>ウチ</t>
    </rPh>
    <rPh sb="8" eb="10">
      <t>ショウジ</t>
    </rPh>
    <phoneticPr fontId="1"/>
  </si>
  <si>
    <t>突出ガスステイBRT</t>
    <rPh sb="0" eb="2">
      <t>ツキダ</t>
    </rPh>
    <phoneticPr fontId="1"/>
  </si>
  <si>
    <t>スペーサー</t>
    <phoneticPr fontId="1"/>
  </si>
  <si>
    <t>突出障子滑車BRT</t>
    <rPh sb="0" eb="2">
      <t>ツキダ</t>
    </rPh>
    <rPh sb="2" eb="4">
      <t>ショウジ</t>
    </rPh>
    <rPh sb="4" eb="6">
      <t>カッシャ</t>
    </rPh>
    <phoneticPr fontId="1"/>
  </si>
  <si>
    <t>突出枠滑車BRT</t>
    <rPh sb="0" eb="2">
      <t>ツキダ</t>
    </rPh>
    <rPh sb="2" eb="3">
      <t>ワク</t>
    </rPh>
    <rPh sb="3" eb="5">
      <t>カッシャ</t>
    </rPh>
    <phoneticPr fontId="1"/>
  </si>
  <si>
    <t>ナット付</t>
    <rPh sb="3" eb="4">
      <t>ツキ</t>
    </rPh>
    <phoneticPr fontId="1"/>
  </si>
  <si>
    <t>PRO-SE</t>
    <phoneticPr fontId="1"/>
  </si>
  <si>
    <t>４０ピッチ H１７</t>
    <phoneticPr fontId="1"/>
  </si>
  <si>
    <t>内 ケ－シングBRT</t>
    <rPh sb="0" eb="1">
      <t>ウチ</t>
    </rPh>
    <phoneticPr fontId="1"/>
  </si>
  <si>
    <t>突出 障子滑車BRT</t>
    <rPh sb="0" eb="1">
      <t>ツ</t>
    </rPh>
    <rPh sb="1" eb="2">
      <t>ダ</t>
    </rPh>
    <rPh sb="3" eb="5">
      <t>ショウジ</t>
    </rPh>
    <rPh sb="5" eb="7">
      <t>カッシャ</t>
    </rPh>
    <phoneticPr fontId="1"/>
  </si>
  <si>
    <t>突出 枠滑車BRT</t>
    <rPh sb="0" eb="1">
      <t>ツ</t>
    </rPh>
    <rPh sb="1" eb="2">
      <t>ダ</t>
    </rPh>
    <rPh sb="3" eb="4">
      <t>ワク</t>
    </rPh>
    <rPh sb="4" eb="6">
      <t>カッシャ</t>
    </rPh>
    <phoneticPr fontId="1"/>
  </si>
  <si>
    <t>SET</t>
    <phoneticPr fontId="1"/>
  </si>
  <si>
    <t>本</t>
    <rPh sb="0" eb="1">
      <t>ホン</t>
    </rPh>
    <phoneticPr fontId="1"/>
  </si>
  <si>
    <t>個</t>
    <rPh sb="0" eb="1">
      <t>コ</t>
    </rPh>
    <phoneticPr fontId="1"/>
  </si>
  <si>
    <t>５０用ハンドルボックス</t>
    <rPh sb="2" eb="3">
      <t>ヨウ</t>
    </rPh>
    <phoneticPr fontId="1"/>
  </si>
  <si>
    <t>転向滑車Aー５０</t>
    <rPh sb="0" eb="2">
      <t>テンコウ</t>
    </rPh>
    <rPh sb="2" eb="4">
      <t>カッシャ</t>
    </rPh>
    <phoneticPr fontId="1"/>
  </si>
  <si>
    <t>転向滑車Bー５０</t>
    <rPh sb="0" eb="2">
      <t>テンコウ</t>
    </rPh>
    <rPh sb="2" eb="4">
      <t>カッシャ</t>
    </rPh>
    <phoneticPr fontId="1"/>
  </si>
  <si>
    <t>ロープ振れ止め金具</t>
    <rPh sb="3" eb="4">
      <t>フ</t>
    </rPh>
    <rPh sb="5" eb="6">
      <t>ド</t>
    </rPh>
    <rPh sb="7" eb="9">
      <t>カナグ</t>
    </rPh>
    <phoneticPr fontId="1"/>
  </si>
  <si>
    <t>１００・１10用換気ボタン</t>
    <rPh sb="7" eb="8">
      <t>ヨウ</t>
    </rPh>
    <rPh sb="8" eb="10">
      <t>カンキ</t>
    </rPh>
    <phoneticPr fontId="1"/>
  </si>
  <si>
    <t>１１０用換気ボタン</t>
    <rPh sb="3" eb="4">
      <t>ヨウ</t>
    </rPh>
    <rPh sb="4" eb="6">
      <t>カンキ</t>
    </rPh>
    <phoneticPr fontId="1"/>
  </si>
  <si>
    <t>８０Ⅲ　換気ボタン</t>
    <rPh sb="4" eb="6">
      <t>カンキ</t>
    </rPh>
    <phoneticPr fontId="1"/>
  </si>
  <si>
    <t>８０Ⅲ　押し赤釦SET</t>
    <rPh sb="4" eb="5">
      <t>オ</t>
    </rPh>
    <rPh sb="6" eb="7">
      <t>アカ</t>
    </rPh>
    <rPh sb="7" eb="8">
      <t>ボタン</t>
    </rPh>
    <phoneticPr fontId="1"/>
  </si>
  <si>
    <t>ハンドル軸心　L＝１００</t>
    <rPh sb="4" eb="6">
      <t>ジクシン</t>
    </rPh>
    <phoneticPr fontId="1"/>
  </si>
  <si>
    <t>SLE用ハンドル</t>
    <rPh sb="3" eb="4">
      <t>ヨウ</t>
    </rPh>
    <phoneticPr fontId="1"/>
  </si>
  <si>
    <t>ダンパーリモコン本体</t>
    <rPh sb="8" eb="10">
      <t>ホンタイ</t>
    </rPh>
    <phoneticPr fontId="1"/>
  </si>
  <si>
    <t>MTG内倒用内抜キャップ</t>
    <rPh sb="3" eb="5">
      <t>ウチタオ</t>
    </rPh>
    <rPh sb="5" eb="6">
      <t>ヨウ</t>
    </rPh>
    <rPh sb="6" eb="7">
      <t>ウチ</t>
    </rPh>
    <rPh sb="7" eb="8">
      <t>ヌ</t>
    </rPh>
    <phoneticPr fontId="1"/>
  </si>
  <si>
    <t>MTG外倒用内抜キャップ</t>
    <rPh sb="3" eb="4">
      <t>ガイ</t>
    </rPh>
    <rPh sb="4" eb="5">
      <t>トウ</t>
    </rPh>
    <rPh sb="5" eb="6">
      <t>ヨウ</t>
    </rPh>
    <rPh sb="6" eb="7">
      <t>ウチ</t>
    </rPh>
    <rPh sb="7" eb="8">
      <t>ヌ</t>
    </rPh>
    <phoneticPr fontId="1"/>
  </si>
  <si>
    <t>３００本体</t>
    <rPh sb="3" eb="5">
      <t>ホンタイ</t>
    </rPh>
    <phoneticPr fontId="1"/>
  </si>
  <si>
    <t>１１０－３　本体</t>
    <rPh sb="6" eb="8">
      <t>ホンタイ</t>
    </rPh>
    <phoneticPr fontId="1"/>
  </si>
  <si>
    <t>８０-３　耐蝕向上品</t>
    <rPh sb="5" eb="10">
      <t>タイショクコウジョウヒン</t>
    </rPh>
    <phoneticPr fontId="1"/>
  </si>
  <si>
    <t>SLA　30201</t>
  </si>
  <si>
    <t>ハンドルボックス</t>
  </si>
  <si>
    <t>SLA　30301-10-SB</t>
  </si>
  <si>
    <t>ハンドル</t>
  </si>
  <si>
    <t>SLS　30201</t>
  </si>
  <si>
    <t>SLA　30220-A-200</t>
  </si>
  <si>
    <t>SLA　30420-A-100</t>
  </si>
  <si>
    <t>SLA　30120-B-100</t>
  </si>
  <si>
    <t>３００フェース</t>
  </si>
  <si>
    <t>３００Ⅱフェース</t>
  </si>
  <si>
    <t>SLA　25202-A</t>
  </si>
  <si>
    <t>SLA　25202-C</t>
  </si>
  <si>
    <t>コネクターセットA</t>
  </si>
  <si>
    <t>コネクターセットC</t>
  </si>
  <si>
    <t>SLS　25202-A</t>
  </si>
  <si>
    <t>SLS　30050-A</t>
  </si>
  <si>
    <t>SLS　30050-B</t>
  </si>
  <si>
    <t>SLS　25202-C</t>
  </si>
  <si>
    <t>SLA　30102</t>
  </si>
  <si>
    <t>SLA　30202</t>
  </si>
  <si>
    <t>SLA　30050-A</t>
  </si>
  <si>
    <t>SLA　30050-B</t>
  </si>
  <si>
    <t>SLA　30107-B</t>
  </si>
  <si>
    <t>SLA　30107-C</t>
  </si>
  <si>
    <t>SLA　50301-A</t>
  </si>
  <si>
    <t>SLA　50301-B</t>
  </si>
  <si>
    <t>SLA　55104-A</t>
  </si>
  <si>
    <t>SLA　55203-A</t>
  </si>
  <si>
    <t>SLA　30104-10M</t>
  </si>
  <si>
    <t>SLA　30104-16M</t>
  </si>
  <si>
    <t>SLA　30104-24M</t>
  </si>
  <si>
    <t>SLA　30104-50M</t>
  </si>
  <si>
    <t>SLS　30004-10M</t>
  </si>
  <si>
    <t>SLS　30004-24M</t>
  </si>
  <si>
    <t>SLS　30004-50M</t>
  </si>
  <si>
    <t>SLA　30122-10</t>
  </si>
  <si>
    <t>SLA　30122-25</t>
  </si>
  <si>
    <t>SLA　30045</t>
  </si>
  <si>
    <t>チェーンケース　S</t>
  </si>
  <si>
    <t>チェーンケース　W</t>
  </si>
  <si>
    <t>コネクターセットL＝1300</t>
  </si>
  <si>
    <t>SLA　55104-B　　</t>
    <phoneticPr fontId="1"/>
  </si>
  <si>
    <t>メインケーブル</t>
  </si>
  <si>
    <t>メインケーブルSUS</t>
  </si>
  <si>
    <t>1３φコンジット１０M</t>
  </si>
  <si>
    <t>1３φコンジット２５M</t>
  </si>
  <si>
    <t>1３φコンジットクランプ</t>
  </si>
  <si>
    <t>SLA　30003-1</t>
  </si>
  <si>
    <t>メインンパイプ</t>
  </si>
  <si>
    <t>SLA　30105</t>
  </si>
  <si>
    <t>SLA　30108</t>
  </si>
  <si>
    <t>SLA　50108</t>
  </si>
  <si>
    <t>SLA　30108-C</t>
  </si>
  <si>
    <t>SLA　55106</t>
  </si>
  <si>
    <t>SLA　55202</t>
  </si>
  <si>
    <t>SLA　30250-A</t>
  </si>
  <si>
    <t>SLA　20150-A</t>
  </si>
  <si>
    <t>SLA　45050-S</t>
  </si>
  <si>
    <t>SLA　45050-W</t>
  </si>
  <si>
    <t>SLA　55107</t>
  </si>
  <si>
    <t>SLA　25102-13</t>
  </si>
  <si>
    <t>SLA　30120-111</t>
  </si>
  <si>
    <t>SLA　55105</t>
  </si>
  <si>
    <t>SLA　30040</t>
  </si>
  <si>
    <t>SLA　30020-A　６０φ</t>
  </si>
  <si>
    <t>SLA　60002</t>
  </si>
  <si>
    <t>SLA　60002-V</t>
  </si>
  <si>
    <t>SLA　30222</t>
  </si>
  <si>
    <t>SLA　30222-SUB</t>
  </si>
  <si>
    <t>パイプジョイント</t>
  </si>
  <si>
    <t>クランプ　A</t>
  </si>
  <si>
    <t>クランプ　B</t>
  </si>
  <si>
    <t>クランプ　C</t>
  </si>
  <si>
    <t>ランナー</t>
  </si>
  <si>
    <t>ハンドル　L＝１００</t>
  </si>
  <si>
    <t>ダブルクランプ</t>
  </si>
  <si>
    <t>マグネットキャッチ</t>
  </si>
  <si>
    <t>スクリュージャッキユニット</t>
  </si>
  <si>
    <t>アッシー</t>
  </si>
  <si>
    <t>サブアッシー</t>
  </si>
  <si>
    <t>SLA　82620-A-200</t>
  </si>
  <si>
    <t>SLA　82620-A-100</t>
  </si>
  <si>
    <t>SLA　80620-A-200</t>
  </si>
  <si>
    <t>SLA　82620-B-100</t>
  </si>
  <si>
    <t>SLA　80620-A-100</t>
  </si>
  <si>
    <t>SLA　80620-C-100</t>
  </si>
  <si>
    <t>SLA　８５４０３－C</t>
  </si>
  <si>
    <t>SLA　８５４０３－D</t>
  </si>
  <si>
    <t>SLA　８５３０４</t>
  </si>
  <si>
    <t>SLA　８０３０９</t>
  </si>
  <si>
    <t>SLA　８２１３１－１０M</t>
  </si>
  <si>
    <t>SLA　８２１３１－２５M</t>
  </si>
  <si>
    <t>SLA　８２１３１－５０M</t>
  </si>
  <si>
    <t>SLA　８２０４１　A</t>
  </si>
  <si>
    <t>SLA　８２０４２</t>
  </si>
  <si>
    <t>SLA　３０００３－１</t>
  </si>
  <si>
    <t>SLA　３０１０８－C</t>
  </si>
  <si>
    <t>S　L　５２H　０１</t>
  </si>
  <si>
    <t>SLA　５１H　０９</t>
  </si>
  <si>
    <t>SLA　５１H　１４-A</t>
  </si>
  <si>
    <t>SLA　５１H　１４-B</t>
  </si>
  <si>
    <t>SLA　５１H　０５</t>
  </si>
  <si>
    <t>SLA　５０００２－００３</t>
  </si>
  <si>
    <t>１１０－３フェース</t>
  </si>
  <si>
    <t>１１０Ⅳフェース</t>
  </si>
  <si>
    <t>１1０ⅡフェースC</t>
  </si>
  <si>
    <t>ビスセット</t>
  </si>
  <si>
    <t>コンジット９</t>
  </si>
  <si>
    <t>ケーシングキャップ</t>
  </si>
  <si>
    <t>９φコンジットクランプ</t>
  </si>
  <si>
    <t>メインパイプ</t>
  </si>
  <si>
    <t>テンションステイ</t>
  </si>
  <si>
    <t>ナットスペシャル（ストッパー）</t>
  </si>
  <si>
    <t>台</t>
    <rPh sb="0" eb="1">
      <t>ダイ</t>
    </rPh>
    <phoneticPr fontId="1"/>
  </si>
  <si>
    <t>本</t>
    <rPh sb="0" eb="1">
      <t>ホン</t>
    </rPh>
    <phoneticPr fontId="1"/>
  </si>
  <si>
    <t>個</t>
    <rPh sb="0" eb="1">
      <t>コ</t>
    </rPh>
    <phoneticPr fontId="1"/>
  </si>
  <si>
    <t>SET</t>
    <phoneticPr fontId="1"/>
  </si>
  <si>
    <t>　K　８０００３０－TA-１０</t>
  </si>
  <si>
    <t>SLA　91510-Aー１０４</t>
  </si>
  <si>
    <t>SLA　８２６２０-A－１１０T</t>
  </si>
  <si>
    <t>SLA　８０６２０-B－１２５</t>
  </si>
  <si>
    <t>SLA　８０１２１－１００</t>
  </si>
  <si>
    <t>SLA　８１１５０－A</t>
  </si>
  <si>
    <t>SLA　８２１１０－C－４００</t>
  </si>
  <si>
    <t>SLA　８２０１０－C－２００</t>
  </si>
  <si>
    <t>SLA　８０５０５－MAO</t>
  </si>
  <si>
    <t>SLA　８０５０５－MBO</t>
  </si>
  <si>
    <t>SLA　８０５０５－MCO</t>
  </si>
  <si>
    <t>SLS　８４１４１－１００T　</t>
  </si>
  <si>
    <t>SLA　８４０３６－１００</t>
  </si>
  <si>
    <t>SLA　８４０３６－２００</t>
  </si>
  <si>
    <t>　K　８３００１０－TS</t>
  </si>
  <si>
    <t>G S　８０６０５-AO</t>
  </si>
  <si>
    <t>G S　８０６０５-BO</t>
  </si>
  <si>
    <t>G S　８０６０５-CO</t>
  </si>
  <si>
    <t>G S　８０６０５-DO</t>
  </si>
  <si>
    <t>G S　８０６０５-EO</t>
  </si>
  <si>
    <t>G S　８０６０５-FO</t>
  </si>
  <si>
    <t>G S　３５０２５-K１</t>
  </si>
  <si>
    <t>G S　５００２７-K１</t>
  </si>
  <si>
    <t>G S　２８１２５-１８</t>
  </si>
  <si>
    <t>G S　４２５２３-１８</t>
  </si>
  <si>
    <t>SLA　８０１３１－２５M</t>
  </si>
  <si>
    <t>SLA　８００１０－２</t>
  </si>
  <si>
    <t>SLA　８００１０－３</t>
  </si>
  <si>
    <t>SLS　４１４１－１００T　</t>
  </si>
  <si>
    <t>ワイヤーロープ</t>
  </si>
  <si>
    <t>ボルトナットセット</t>
  </si>
  <si>
    <t>ガスステイ　１５φ</t>
  </si>
  <si>
    <t>ガスステイ　２２φ</t>
  </si>
  <si>
    <t>ガスステイ　１８φ</t>
  </si>
  <si>
    <t>1１φコンジット２５M</t>
  </si>
  <si>
    <t>1１φケーシングキャップ</t>
  </si>
  <si>
    <t>1１φコンジットクランプ</t>
  </si>
  <si>
    <t>SUS1１φケーシングキャップ</t>
  </si>
  <si>
    <t>和　田</t>
    <rPh sb="0" eb="1">
      <t>ワ</t>
    </rPh>
    <rPh sb="2" eb="3">
      <t>タ</t>
    </rPh>
    <phoneticPr fontId="1"/>
  </si>
  <si>
    <t>株式会社　名西住建</t>
    <rPh sb="0" eb="4">
      <t>カブシキガイシャ</t>
    </rPh>
    <rPh sb="5" eb="7">
      <t>メイセイ</t>
    </rPh>
    <rPh sb="7" eb="9">
      <t>ジュウケン</t>
    </rPh>
    <phoneticPr fontId="1"/>
  </si>
  <si>
    <t>チェーンケース　S</t>
    <phoneticPr fontId="1"/>
  </si>
  <si>
    <t>総亜産業株式会社</t>
    <rPh sb="0" eb="1">
      <t>ソウ</t>
    </rPh>
    <rPh sb="1" eb="2">
      <t>ア</t>
    </rPh>
    <rPh sb="2" eb="4">
      <t>サンギョウ</t>
    </rPh>
    <rPh sb="4" eb="8">
      <t>カブシキガイシャ</t>
    </rPh>
    <phoneticPr fontId="1"/>
  </si>
  <si>
    <t>１００フェースA</t>
    <phoneticPr fontId="1"/>
  </si>
  <si>
    <t>藤　本</t>
    <rPh sb="0" eb="1">
      <t>フジ</t>
    </rPh>
    <rPh sb="2" eb="3">
      <t>ホン</t>
    </rPh>
    <phoneticPr fontId="1"/>
  </si>
  <si>
    <t>G S　２２１２０-K１</t>
    <phoneticPr fontId="1"/>
  </si>
  <si>
    <t>SLA　30020-A　６０φ</t>
    <phoneticPr fontId="1"/>
  </si>
  <si>
    <t>厚ケ瀬</t>
    <rPh sb="0" eb="3">
      <t>アツガセ</t>
    </rPh>
    <phoneticPr fontId="1"/>
  </si>
  <si>
    <t>峯</t>
    <rPh sb="0" eb="1">
      <t>ミネ</t>
    </rPh>
    <phoneticPr fontId="1"/>
  </si>
  <si>
    <t>KA０８－００２ R/L</t>
  </si>
  <si>
    <t>KA０８－５０２ R/L</t>
  </si>
  <si>
    <t>KA０８－１００９ L</t>
  </si>
  <si>
    <t>KA０８－５０５ R/L</t>
  </si>
  <si>
    <t>KA０８－１２６ R/L</t>
  </si>
  <si>
    <t>KA８８－２２６ R/L</t>
  </si>
  <si>
    <t>KA８８－０４２</t>
  </si>
  <si>
    <t>KA０８－３４０１</t>
  </si>
  <si>
    <t>KA０８－３３１３</t>
  </si>
  <si>
    <t>KA０８－４４１</t>
  </si>
  <si>
    <t>KA０８－１１０９</t>
  </si>
  <si>
    <t>KA０８－１４１ R/L</t>
  </si>
  <si>
    <t>KA８８－730-SP</t>
  </si>
  <si>
    <t>KA０８－４２６６</t>
  </si>
  <si>
    <t>KA０８－４１０５ R/L</t>
  </si>
  <si>
    <t>KA０８－２２０６</t>
  </si>
  <si>
    <t>KA０８－３３０４</t>
  </si>
  <si>
    <t>KA０８－３５６１　R/L</t>
    <phoneticPr fontId="1"/>
  </si>
  <si>
    <t>KA０８－８０２　R/L</t>
    <phoneticPr fontId="1"/>
  </si>
  <si>
    <t>KA８８－２０８</t>
    <phoneticPr fontId="1"/>
  </si>
  <si>
    <t>KA０８－３５３２</t>
    <phoneticPr fontId="1"/>
  </si>
  <si>
    <t xml:space="preserve"> ケ－シングBRT</t>
    <phoneticPr fontId="1"/>
  </si>
  <si>
    <t>KA８８－730</t>
    <phoneticPr fontId="1"/>
  </si>
  <si>
    <t>ケース取付金具</t>
    <rPh sb="3" eb="7">
      <t>トリツケカナグ</t>
    </rPh>
    <phoneticPr fontId="1"/>
  </si>
  <si>
    <t>KA３０－３０１</t>
    <phoneticPr fontId="1"/>
  </si>
  <si>
    <t>KA３０－１０１１</t>
    <phoneticPr fontId="1"/>
  </si>
  <si>
    <t>KA３０－９０１</t>
    <phoneticPr fontId="1"/>
  </si>
  <si>
    <t>KA３０－００４</t>
    <phoneticPr fontId="1"/>
  </si>
  <si>
    <t>SLA　８１４１０-A-200</t>
    <phoneticPr fontId="1"/>
  </si>
  <si>
    <t>SLS　８１５１１-A</t>
    <phoneticPr fontId="1"/>
  </si>
  <si>
    <t>KA２５－２０３</t>
    <phoneticPr fontId="1"/>
  </si>
  <si>
    <t>KA２５－４０６</t>
    <phoneticPr fontId="1"/>
  </si>
  <si>
    <t>KA２５－００１</t>
    <phoneticPr fontId="1"/>
  </si>
  <si>
    <t>KA２５－１０４</t>
    <phoneticPr fontId="1"/>
  </si>
  <si>
    <t>内倒し本体BRT</t>
    <rPh sb="0" eb="2">
      <t>ウチタオ</t>
    </rPh>
    <rPh sb="3" eb="5">
      <t>ホンタイ</t>
    </rPh>
    <phoneticPr fontId="1"/>
  </si>
  <si>
    <t>サイシュウテクノ株式会社</t>
    <rPh sb="8" eb="12">
      <t>カブシキガイシャ</t>
    </rPh>
    <phoneticPr fontId="1"/>
  </si>
  <si>
    <t>林</t>
  </si>
  <si>
    <t>横井硝子店</t>
    <rPh sb="0" eb="2">
      <t>ヨコイ</t>
    </rPh>
    <rPh sb="2" eb="5">
      <t>ガラステン</t>
    </rPh>
    <phoneticPr fontId="1"/>
  </si>
  <si>
    <t>川　口</t>
    <rPh sb="0" eb="1">
      <t>カワ</t>
    </rPh>
    <rPh sb="2" eb="3">
      <t>クチ</t>
    </rPh>
    <phoneticPr fontId="1"/>
  </si>
  <si>
    <r>
      <t>SLA　８１５１１－A　　</t>
    </r>
    <r>
      <rPr>
        <sz val="9"/>
        <color theme="1"/>
        <rFont val="ＭＳ Ｐゴシック"/>
        <family val="3"/>
        <charset val="128"/>
        <scheme val="minor"/>
      </rPr>
      <t>ハンドルボックス８０Ⅲ</t>
    </r>
    <phoneticPr fontId="1"/>
  </si>
  <si>
    <t>M</t>
    <phoneticPr fontId="1"/>
  </si>
  <si>
    <t>SLA　８６１０４</t>
    <phoneticPr fontId="1"/>
  </si>
  <si>
    <t>KA　０８－２２０２</t>
    <phoneticPr fontId="1"/>
  </si>
  <si>
    <t>障子滑車取付金具</t>
    <rPh sb="0" eb="2">
      <t>ショウジ</t>
    </rPh>
    <rPh sb="2" eb="4">
      <t>カッシャ</t>
    </rPh>
    <rPh sb="4" eb="6">
      <t>トリツケ</t>
    </rPh>
    <rPh sb="6" eb="8">
      <t>カナグ</t>
    </rPh>
    <phoneticPr fontId="1"/>
  </si>
  <si>
    <t>TKNー００１</t>
    <phoneticPr fontId="1"/>
  </si>
  <si>
    <t>連結金具</t>
    <rPh sb="0" eb="2">
      <t>レンケツ</t>
    </rPh>
    <rPh sb="2" eb="4">
      <t>カナグ</t>
    </rPh>
    <phoneticPr fontId="1"/>
  </si>
  <si>
    <t>竹　内</t>
    <rPh sb="0" eb="1">
      <t>タケ</t>
    </rPh>
    <rPh sb="2" eb="3">
      <t>ウチ</t>
    </rPh>
    <phoneticPr fontId="1"/>
  </si>
  <si>
    <t>春日井硝子株式会社</t>
    <rPh sb="0" eb="3">
      <t>カスガイ</t>
    </rPh>
    <rPh sb="3" eb="5">
      <t>ガラス</t>
    </rPh>
    <rPh sb="5" eb="9">
      <t>カブシキガイシャ</t>
    </rPh>
    <phoneticPr fontId="1"/>
  </si>
  <si>
    <t>ケーシングBRT　L型</t>
    <rPh sb="10" eb="11">
      <t>ガタ</t>
    </rPh>
    <phoneticPr fontId="1"/>
  </si>
  <si>
    <t>KA８８－１３００</t>
    <phoneticPr fontId="1"/>
  </si>
  <si>
    <t>中間キャップ</t>
    <rPh sb="0" eb="2">
      <t>チュウカン</t>
    </rPh>
    <phoneticPr fontId="1"/>
  </si>
  <si>
    <t>５００用コネクターセット</t>
  </si>
  <si>
    <t>SLA　5０００２</t>
    <phoneticPr fontId="1"/>
  </si>
  <si>
    <t>G S　２８１１９-K１</t>
    <phoneticPr fontId="1"/>
  </si>
  <si>
    <t>ガスステイ　１５φ</t>
    <phoneticPr fontId="1"/>
  </si>
  <si>
    <t>SLA　50003-２</t>
    <phoneticPr fontId="1"/>
  </si>
  <si>
    <t>内倒しBRT 　  L＝１６０</t>
    <rPh sb="0" eb="2">
      <t>ウチタオ</t>
    </rPh>
    <phoneticPr fontId="1"/>
  </si>
  <si>
    <t>外倒しBRT　　　L型</t>
    <rPh sb="0" eb="2">
      <t>ソトタオ</t>
    </rPh>
    <rPh sb="10" eb="11">
      <t>ガタ</t>
    </rPh>
    <phoneticPr fontId="1"/>
  </si>
  <si>
    <t>外倒しBRT　　　Z型</t>
    <rPh sb="0" eb="2">
      <t>ソトタオ</t>
    </rPh>
    <rPh sb="10" eb="11">
      <t>ガタ</t>
    </rPh>
    <phoneticPr fontId="1"/>
  </si>
  <si>
    <t>ケース取付金具　　６０P</t>
    <rPh sb="3" eb="7">
      <t>トリツケカナグ</t>
    </rPh>
    <phoneticPr fontId="1"/>
  </si>
  <si>
    <t>ケース取付金具　５４P</t>
    <rPh sb="3" eb="7">
      <t>トリツケカナグ</t>
    </rPh>
    <phoneticPr fontId="1"/>
  </si>
  <si>
    <t>TAT３０－４０７</t>
    <phoneticPr fontId="1"/>
  </si>
  <si>
    <t>扉＋捨て箱</t>
    <rPh sb="0" eb="1">
      <t>トビラ</t>
    </rPh>
    <rPh sb="2" eb="3">
      <t>ス</t>
    </rPh>
    <rPh sb="4" eb="5">
      <t>ハコ</t>
    </rPh>
    <phoneticPr fontId="1"/>
  </si>
  <si>
    <t>入り</t>
    <rPh sb="0" eb="1">
      <t>イ</t>
    </rPh>
    <phoneticPr fontId="1"/>
  </si>
  <si>
    <t>A</t>
    <phoneticPr fontId="1"/>
  </si>
  <si>
    <t>H</t>
    <phoneticPr fontId="1"/>
  </si>
  <si>
    <t>TAT３０－４０７－２</t>
    <phoneticPr fontId="1"/>
  </si>
  <si>
    <t>扉のみ</t>
    <rPh sb="0" eb="1">
      <t>トビラ</t>
    </rPh>
    <phoneticPr fontId="1"/>
  </si>
  <si>
    <t>TAT３０－５０７</t>
    <phoneticPr fontId="1"/>
  </si>
  <si>
    <t>TAT３０－５０７－２</t>
    <phoneticPr fontId="1"/>
  </si>
  <si>
    <t>KA０８－７８０１　R/L</t>
    <phoneticPr fontId="1"/>
  </si>
  <si>
    <t>KA０８－７８０２</t>
    <phoneticPr fontId="1"/>
  </si>
  <si>
    <t xml:space="preserve"> ステイBRT障子</t>
    <rPh sb="7" eb="9">
      <t>ショウジ</t>
    </rPh>
    <phoneticPr fontId="1"/>
  </si>
  <si>
    <t xml:space="preserve"> ステイBRT枠</t>
    <rPh sb="7" eb="8">
      <t>ワク</t>
    </rPh>
    <phoneticPr fontId="1"/>
  </si>
  <si>
    <t>転向滑車　G</t>
    <rPh sb="0" eb="2">
      <t>テンコウ</t>
    </rPh>
    <rPh sb="2" eb="4">
      <t>カッシャ</t>
    </rPh>
    <phoneticPr fontId="1"/>
  </si>
  <si>
    <t>SLA　８５２０９－G</t>
    <phoneticPr fontId="1"/>
  </si>
  <si>
    <t>SLA　30２01-52</t>
    <phoneticPr fontId="1"/>
  </si>
  <si>
    <r>
      <t>S　L　25202-12T　</t>
    </r>
    <r>
      <rPr>
        <sz val="9"/>
        <color theme="1"/>
        <rFont val="ＭＳ Ｐゴシック"/>
        <family val="3"/>
        <charset val="128"/>
        <scheme val="minor"/>
      </rPr>
      <t>特注</t>
    </r>
  </si>
  <si>
    <t>KA０８－３３１６</t>
    <phoneticPr fontId="1"/>
  </si>
  <si>
    <t>SLA　８６１０４－A</t>
    <phoneticPr fontId="1"/>
  </si>
  <si>
    <t>三協</t>
    <rPh sb="0" eb="2">
      <t>サンキョウ</t>
    </rPh>
    <phoneticPr fontId="1"/>
  </si>
  <si>
    <t>枠滑車　突出し</t>
    <rPh sb="0" eb="1">
      <t>ワク</t>
    </rPh>
    <rPh sb="1" eb="3">
      <t>カッシャ</t>
    </rPh>
    <rPh sb="4" eb="6">
      <t>ツキダ</t>
    </rPh>
    <phoneticPr fontId="1"/>
  </si>
  <si>
    <t>障子滑車　突出し</t>
    <rPh sb="0" eb="2">
      <t>ショウジ</t>
    </rPh>
    <rPh sb="2" eb="4">
      <t>カッシャ</t>
    </rPh>
    <rPh sb="5" eb="7">
      <t>ツキダ</t>
    </rPh>
    <phoneticPr fontId="1"/>
  </si>
  <si>
    <t>不二</t>
    <rPh sb="0" eb="2">
      <t>フジ</t>
    </rPh>
    <phoneticPr fontId="1"/>
  </si>
  <si>
    <t>SLS ８１１３３－TB</t>
    <phoneticPr fontId="1"/>
  </si>
  <si>
    <t>SLS ８１１３４－TC</t>
    <phoneticPr fontId="1"/>
  </si>
  <si>
    <t>SLS ８１２３４－FC</t>
    <phoneticPr fontId="1"/>
  </si>
  <si>
    <t>丸ステイ　</t>
    <rPh sb="0" eb="1">
      <t>マル</t>
    </rPh>
    <phoneticPr fontId="1"/>
  </si>
  <si>
    <t>障子滑車　偏芯　SUS</t>
    <rPh sb="0" eb="2">
      <t>ショウジ</t>
    </rPh>
    <rPh sb="2" eb="4">
      <t>カッシャ</t>
    </rPh>
    <rPh sb="5" eb="7">
      <t>ヘンシン</t>
    </rPh>
    <phoneticPr fontId="1"/>
  </si>
  <si>
    <t>株式会社　オーライズ</t>
    <rPh sb="0" eb="4">
      <t>カブシキガイシャ</t>
    </rPh>
    <phoneticPr fontId="1"/>
  </si>
  <si>
    <t>愛　葉</t>
    <rPh sb="0" eb="1">
      <t>アイ</t>
    </rPh>
    <rPh sb="2" eb="3">
      <t>ハ</t>
    </rPh>
    <phoneticPr fontId="1"/>
  </si>
  <si>
    <t>G S　３５０２１-１８</t>
    <phoneticPr fontId="1"/>
  </si>
  <si>
    <t>　従来通り</t>
    <rPh sb="1" eb="4">
      <t>ジュウライドオ</t>
    </rPh>
    <phoneticPr fontId="1"/>
  </si>
  <si>
    <t>障子金具　A</t>
    <rPh sb="0" eb="2">
      <t>ショウジ</t>
    </rPh>
    <rPh sb="2" eb="4">
      <t>カナグ</t>
    </rPh>
    <phoneticPr fontId="1"/>
  </si>
  <si>
    <t>SLA　25１０２-１３</t>
    <phoneticPr fontId="1"/>
  </si>
  <si>
    <t>ダブルクランプ</t>
    <phoneticPr fontId="1"/>
  </si>
  <si>
    <t>法定福利費＝施工費＋諸経費の  14.05％</t>
    <rPh sb="6" eb="9">
      <t>セコウヒ</t>
    </rPh>
    <rPh sb="10" eb="13">
      <t>ショケイヒ</t>
    </rPh>
    <phoneticPr fontId="1"/>
  </si>
  <si>
    <t>株式会社マーク</t>
    <rPh sb="0" eb="4">
      <t>カブシキガイシャ</t>
    </rPh>
    <phoneticPr fontId="1"/>
  </si>
  <si>
    <t>KA０８－2207</t>
    <phoneticPr fontId="1"/>
  </si>
  <si>
    <t>SLA　５０００２－００３</t>
    <phoneticPr fontId="1"/>
  </si>
  <si>
    <t>ナットスペシャル</t>
    <phoneticPr fontId="1"/>
  </si>
  <si>
    <t>連結金具</t>
    <rPh sb="0" eb="2">
      <t>レンケツ</t>
    </rPh>
    <rPh sb="2" eb="4">
      <t>カナグ</t>
    </rPh>
    <phoneticPr fontId="1"/>
  </si>
  <si>
    <t>R２年　１０月１日　価格改定</t>
    <rPh sb="2" eb="3">
      <t>ネン</t>
    </rPh>
    <rPh sb="6" eb="7">
      <t>ガツ</t>
    </rPh>
    <rPh sb="8" eb="9">
      <t>ニチ</t>
    </rPh>
    <rPh sb="10" eb="12">
      <t>カカク</t>
    </rPh>
    <rPh sb="12" eb="14">
      <t>カイテイ</t>
    </rPh>
    <phoneticPr fontId="1"/>
  </si>
  <si>
    <t>SLA　55203-B、C、E</t>
    <phoneticPr fontId="1"/>
  </si>
  <si>
    <t>障子金具　B～E</t>
    <rPh sb="0" eb="2">
      <t>ショウジ</t>
    </rPh>
    <rPh sb="2" eb="4">
      <t>カナグ</t>
    </rPh>
    <phoneticPr fontId="1"/>
  </si>
  <si>
    <t>KA０８－２２０７</t>
    <phoneticPr fontId="1"/>
  </si>
  <si>
    <t>法兼</t>
    <rPh sb="0" eb="1">
      <t>ホウ</t>
    </rPh>
    <rPh sb="1" eb="2">
      <t>ケン</t>
    </rPh>
    <phoneticPr fontId="1"/>
  </si>
  <si>
    <t>SLS　８１１３０-10M</t>
    <phoneticPr fontId="1"/>
  </si>
  <si>
    <t>SLS　８１１３０-1４M</t>
    <phoneticPr fontId="1"/>
  </si>
  <si>
    <t>SLS　８１１３０-1８M</t>
    <phoneticPr fontId="1"/>
  </si>
  <si>
    <t>SLS　８１１３０-２６M</t>
    <phoneticPr fontId="1"/>
  </si>
  <si>
    <t>SLS　８１１３０-５0M</t>
    <phoneticPr fontId="1"/>
  </si>
  <si>
    <t>E/S　０５０－００１</t>
    <phoneticPr fontId="1"/>
  </si>
  <si>
    <t>ワイヤーストッパー</t>
    <phoneticPr fontId="1"/>
  </si>
  <si>
    <t>E/S　０５０－００３</t>
    <phoneticPr fontId="1"/>
  </si>
  <si>
    <t>転向滑車１００</t>
    <rPh sb="0" eb="2">
      <t>テンコウ</t>
    </rPh>
    <rPh sb="2" eb="4">
      <t>カッシャ</t>
    </rPh>
    <phoneticPr fontId="1"/>
  </si>
  <si>
    <t>E/S　０５０－００４</t>
    <phoneticPr fontId="1"/>
  </si>
  <si>
    <t>シンブル</t>
    <phoneticPr fontId="1"/>
  </si>
  <si>
    <t>E/S　０５０－００５</t>
    <phoneticPr fontId="1"/>
  </si>
  <si>
    <t>ワイヤークリップ</t>
    <phoneticPr fontId="1"/>
  </si>
  <si>
    <t>E/S　０５０－０７５</t>
    <phoneticPr fontId="1"/>
  </si>
  <si>
    <t>障子金具</t>
    <rPh sb="0" eb="2">
      <t>ショウジ</t>
    </rPh>
    <rPh sb="2" eb="4">
      <t>カナグ</t>
    </rPh>
    <phoneticPr fontId="1"/>
  </si>
  <si>
    <t>コネクターセット</t>
    <phoneticPr fontId="1"/>
  </si>
  <si>
    <t>障子滑車　　　　　</t>
    <rPh sb="0" eb="2">
      <t>ショウジ</t>
    </rPh>
    <rPh sb="2" eb="4">
      <t>カッシャ</t>
    </rPh>
    <phoneticPr fontId="1"/>
  </si>
  <si>
    <t>　W　７００　XH６００　２連</t>
    <rPh sb="14" eb="15">
      <t>レン</t>
    </rPh>
    <phoneticPr fontId="1"/>
  </si>
  <si>
    <t>数量</t>
    <rPh sb="0" eb="2">
      <t>スウリョウ</t>
    </rPh>
    <phoneticPr fontId="1"/>
  </si>
  <si>
    <t>　　　　　　　　　　　　中間キャップ</t>
    <rPh sb="12" eb="14">
      <t>チュウカン</t>
    </rPh>
    <phoneticPr fontId="1"/>
  </si>
  <si>
    <t>SLA　８２１３１－５M</t>
    <phoneticPr fontId="1"/>
  </si>
  <si>
    <t>計</t>
    <rPh sb="0" eb="1">
      <t>ケイ</t>
    </rPh>
    <phoneticPr fontId="1"/>
  </si>
  <si>
    <t>施工費</t>
    <rPh sb="0" eb="3">
      <t>セコウヒ</t>
    </rPh>
    <phoneticPr fontId="1"/>
  </si>
  <si>
    <t>諸経費</t>
    <rPh sb="0" eb="3">
      <t>ショケイヒ</t>
    </rPh>
    <phoneticPr fontId="1"/>
  </si>
  <si>
    <t>A</t>
    <phoneticPr fontId="1"/>
  </si>
  <si>
    <t>B</t>
    <phoneticPr fontId="1"/>
  </si>
  <si>
    <t>C</t>
    <phoneticPr fontId="1"/>
  </si>
  <si>
    <t>MTG７０RC　防火　SLー８８　隠蔽式　外倒し　埋込　名古屋市内</t>
    <rPh sb="28" eb="31">
      <t>ナゴヤ</t>
    </rPh>
    <rPh sb="31" eb="33">
      <t>シナイ</t>
    </rPh>
    <phoneticPr fontId="1"/>
  </si>
  <si>
    <t xml:space="preserve">令和　３ 年　４　月   日 </t>
    <rPh sb="0" eb="2">
      <t>レイワ</t>
    </rPh>
    <phoneticPr fontId="1"/>
  </si>
  <si>
    <t>SLー８０　突出し　埋込　４連　１ヶ所</t>
    <rPh sb="6" eb="8">
      <t>ツキダ</t>
    </rPh>
    <rPh sb="10" eb="12">
      <t>ウメコミ</t>
    </rPh>
    <rPh sb="14" eb="15">
      <t>レン</t>
    </rPh>
    <rPh sb="18" eb="19">
      <t>ショ</t>
    </rPh>
    <phoneticPr fontId="1"/>
  </si>
  <si>
    <t>KYA０８－２０４　　　　　　スペーサー</t>
    <phoneticPr fontId="1"/>
  </si>
  <si>
    <t>KYA０８－２２０５　　　　　滑車BKT</t>
    <rPh sb="15" eb="17">
      <t>カッシャ</t>
    </rPh>
    <phoneticPr fontId="1"/>
  </si>
  <si>
    <t>G S　５００２４-１８</t>
    <phoneticPr fontId="1"/>
  </si>
  <si>
    <t>SLA　８２１３１－５M</t>
    <phoneticPr fontId="1"/>
  </si>
  <si>
    <t>埋込用鉄板</t>
    <rPh sb="0" eb="3">
      <t>ウメコミヨウ</t>
    </rPh>
    <rPh sb="3" eb="5">
      <t>テッパン</t>
    </rPh>
    <phoneticPr fontId="1"/>
  </si>
  <si>
    <t>製品代</t>
    <rPh sb="0" eb="2">
      <t>セイヒン</t>
    </rPh>
    <rPh sb="2" eb="3">
      <t>ダイ</t>
    </rPh>
    <phoneticPr fontId="1"/>
  </si>
  <si>
    <t>上代</t>
    <rPh sb="0" eb="2">
      <t>ジョウダイ</t>
    </rPh>
    <phoneticPr fontId="1"/>
  </si>
  <si>
    <t>施工費</t>
    <rPh sb="0" eb="3">
      <t>セコウヒ</t>
    </rPh>
    <phoneticPr fontId="1"/>
  </si>
  <si>
    <t>合計</t>
    <rPh sb="0" eb="2">
      <t>ゴウケイ</t>
    </rPh>
    <phoneticPr fontId="1"/>
  </si>
  <si>
    <t>NET</t>
    <phoneticPr fontId="1"/>
  </si>
  <si>
    <t>SLー８０　突出し　埋込　３連　１ヶ所</t>
    <rPh sb="6" eb="8">
      <t>ツキダ</t>
    </rPh>
    <rPh sb="10" eb="12">
      <t>ウメコミ</t>
    </rPh>
    <rPh sb="14" eb="15">
      <t>レン</t>
    </rPh>
    <rPh sb="18" eb="19">
      <t>ショ</t>
    </rPh>
    <phoneticPr fontId="1"/>
  </si>
  <si>
    <t>SLー８０　突出し　埋込　２連　１ヶ所</t>
    <rPh sb="6" eb="8">
      <t>ツキダ</t>
    </rPh>
    <rPh sb="10" eb="12">
      <t>ウメコミ</t>
    </rPh>
    <rPh sb="14" eb="15">
      <t>レン</t>
    </rPh>
    <rPh sb="18" eb="19">
      <t>ショ</t>
    </rPh>
    <phoneticPr fontId="1"/>
  </si>
  <si>
    <t>終端パイプL=830</t>
    <rPh sb="0" eb="2">
      <t>シュウタン</t>
    </rPh>
    <phoneticPr fontId="1"/>
  </si>
  <si>
    <t>終端パイプ　L=1250</t>
    <rPh sb="0" eb="2">
      <t>シュウタン</t>
    </rPh>
    <phoneticPr fontId="1"/>
  </si>
  <si>
    <t>SLA　80505－AO</t>
    <phoneticPr fontId="1"/>
  </si>
  <si>
    <t>SLA　80505－BO</t>
    <phoneticPr fontId="1"/>
  </si>
  <si>
    <t>SLA　80505－CO</t>
    <phoneticPr fontId="1"/>
  </si>
  <si>
    <t>SLA　80505－DO</t>
    <phoneticPr fontId="1"/>
  </si>
  <si>
    <t>SLA　80505－EO</t>
    <phoneticPr fontId="1"/>
  </si>
  <si>
    <t>SLA　80505－FO</t>
    <phoneticPr fontId="1"/>
  </si>
  <si>
    <t>SLS ８１２３３－FB</t>
    <phoneticPr fontId="1"/>
  </si>
  <si>
    <t>一栁</t>
    <rPh sb="0" eb="2">
      <t>イチヤナギ</t>
    </rPh>
    <phoneticPr fontId="1"/>
  </si>
  <si>
    <t>合計</t>
    <rPh sb="0" eb="2">
      <t>ゴウケイ</t>
    </rPh>
    <phoneticPr fontId="1"/>
  </si>
  <si>
    <t>内訳書</t>
    <rPh sb="0" eb="2">
      <t>ウチワケ</t>
    </rPh>
    <rPh sb="2" eb="3">
      <t>ショ</t>
    </rPh>
    <phoneticPr fontId="1"/>
  </si>
  <si>
    <t>品名</t>
    <rPh sb="0" eb="2">
      <t>ヒンメイ</t>
    </rPh>
    <phoneticPr fontId="1"/>
  </si>
  <si>
    <t>窓数</t>
    <rPh sb="0" eb="2">
      <t>マドスウ</t>
    </rPh>
    <phoneticPr fontId="1"/>
  </si>
  <si>
    <t>工事名　：　</t>
    <rPh sb="0" eb="2">
      <t>コウジ</t>
    </rPh>
    <rPh sb="2" eb="3">
      <t>メイ</t>
    </rPh>
    <phoneticPr fontId="1"/>
  </si>
  <si>
    <t>　　　　 　ＦＡＸ　０５２－４１４－４５８１</t>
    <phoneticPr fontId="1"/>
  </si>
  <si>
    <t>ハンドルボックス80Ⅲ</t>
    <phoneticPr fontId="1"/>
  </si>
  <si>
    <t>R5年　4月5日　価格改定</t>
    <rPh sb="2" eb="3">
      <t>ネン</t>
    </rPh>
    <rPh sb="5" eb="6">
      <t>ガツ</t>
    </rPh>
    <rPh sb="7" eb="8">
      <t>ニチ</t>
    </rPh>
    <rPh sb="9" eb="11">
      <t>カカク</t>
    </rPh>
    <rPh sb="11" eb="13">
      <t>カイテイ</t>
    </rPh>
    <phoneticPr fontId="1"/>
  </si>
  <si>
    <t>ハンドルL＝100</t>
    <phoneticPr fontId="1"/>
  </si>
  <si>
    <t>枠滑車Cブロンズ</t>
    <rPh sb="0" eb="3">
      <t>ワクカッシャ</t>
    </rPh>
    <phoneticPr fontId="1"/>
  </si>
  <si>
    <t>枠滑車Dブロンズ</t>
    <rPh sb="0" eb="3">
      <t>ワクカッシャ</t>
    </rPh>
    <phoneticPr fontId="1"/>
  </si>
  <si>
    <t>障子滑車ブロンズ</t>
    <rPh sb="0" eb="2">
      <t>ショウジ</t>
    </rPh>
    <rPh sb="2" eb="4">
      <t>カッシャ</t>
    </rPh>
    <phoneticPr fontId="1"/>
  </si>
  <si>
    <t>拾　出　表　(A）　兼　発 注マスターカード</t>
    <rPh sb="0" eb="1">
      <t>ヒロ</t>
    </rPh>
    <rPh sb="2" eb="3">
      <t>ダ</t>
    </rPh>
    <rPh sb="4" eb="5">
      <t>ヒョウ</t>
    </rPh>
    <rPh sb="10" eb="11">
      <t>ケン</t>
    </rPh>
    <rPh sb="12" eb="13">
      <t>ハツ</t>
    </rPh>
    <rPh sb="14" eb="15">
      <t>チュウ</t>
    </rPh>
    <phoneticPr fontId="28"/>
  </si>
  <si>
    <t>お得意先</t>
    <rPh sb="1" eb="4">
      <t>トクイサキ</t>
    </rPh>
    <phoneticPr fontId="28"/>
  </si>
  <si>
    <t>お得意先コード</t>
    <rPh sb="1" eb="4">
      <t>トクイサキ</t>
    </rPh>
    <phoneticPr fontId="28"/>
  </si>
  <si>
    <t>得意先ご担当</t>
    <rPh sb="0" eb="3">
      <t>トクイサキ</t>
    </rPh>
    <rPh sb="4" eb="6">
      <t>タントウ</t>
    </rPh>
    <phoneticPr fontId="28"/>
  </si>
  <si>
    <t>発   行   日</t>
    <rPh sb="0" eb="1">
      <t>ハッ</t>
    </rPh>
    <rPh sb="4" eb="5">
      <t>ギョウ</t>
    </rPh>
    <rPh sb="8" eb="9">
      <t>ヒ</t>
    </rPh>
    <phoneticPr fontId="28"/>
  </si>
  <si>
    <t>オイレスE C O</t>
    <phoneticPr fontId="28"/>
  </si>
  <si>
    <t>３１７０３－１</t>
    <phoneticPr fontId="28"/>
  </si>
  <si>
    <t>箱崎様</t>
    <rPh sb="0" eb="2">
      <t>ハコザキ</t>
    </rPh>
    <rPh sb="2" eb="3">
      <t>サマ</t>
    </rPh>
    <phoneticPr fontId="28"/>
  </si>
  <si>
    <t>営業所名</t>
    <rPh sb="0" eb="3">
      <t>エイギョウショ</t>
    </rPh>
    <rPh sb="3" eb="4">
      <t>メイ</t>
    </rPh>
    <phoneticPr fontId="28"/>
  </si>
  <si>
    <t>営業所コード</t>
    <rPh sb="0" eb="3">
      <t>エイギョウショ</t>
    </rPh>
    <phoneticPr fontId="28"/>
  </si>
  <si>
    <t>受注指令番号</t>
    <rPh sb="0" eb="2">
      <t>ジュチュウ</t>
    </rPh>
    <rPh sb="2" eb="4">
      <t>シレイ</t>
    </rPh>
    <rPh sb="4" eb="6">
      <t>バンゴウ</t>
    </rPh>
    <phoneticPr fontId="28"/>
  </si>
  <si>
    <t>出荷先コード</t>
    <rPh sb="0" eb="2">
      <t>シュッカ</t>
    </rPh>
    <rPh sb="2" eb="3">
      <t>サキ</t>
    </rPh>
    <phoneticPr fontId="28"/>
  </si>
  <si>
    <t>納　　　　期</t>
    <rPh sb="0" eb="1">
      <t>オサム</t>
    </rPh>
    <rPh sb="5" eb="6">
      <t>キ</t>
    </rPh>
    <phoneticPr fontId="28"/>
  </si>
  <si>
    <t>名古屋支店営業G</t>
    <rPh sb="0" eb="3">
      <t>ナゴヤ</t>
    </rPh>
    <rPh sb="3" eb="5">
      <t>シテン</t>
    </rPh>
    <rPh sb="5" eb="7">
      <t>エイギョウ</t>
    </rPh>
    <phoneticPr fontId="28"/>
  </si>
  <si>
    <t>A　１</t>
    <phoneticPr fontId="28"/>
  </si>
  <si>
    <t>送り先</t>
    <rPh sb="0" eb="1">
      <t>オク</t>
    </rPh>
    <rPh sb="2" eb="3">
      <t>サキ</t>
    </rPh>
    <phoneticPr fontId="28"/>
  </si>
  <si>
    <t>物　　件　　名</t>
    <rPh sb="0" eb="1">
      <t>モノ</t>
    </rPh>
    <rPh sb="3" eb="4">
      <t>ケン</t>
    </rPh>
    <rPh sb="6" eb="7">
      <t>メイ</t>
    </rPh>
    <phoneticPr fontId="28"/>
  </si>
  <si>
    <t>E R P 品 目 コ ー ド</t>
    <rPh sb="6" eb="7">
      <t>ヒン</t>
    </rPh>
    <rPh sb="8" eb="9">
      <t>メ</t>
    </rPh>
    <phoneticPr fontId="28"/>
  </si>
  <si>
    <t>中部システム工業</t>
    <rPh sb="0" eb="2">
      <t>チュウブ</t>
    </rPh>
    <rPh sb="6" eb="8">
      <t>コウギョウ</t>
    </rPh>
    <phoneticPr fontId="28"/>
  </si>
  <si>
    <t>伝票番号</t>
    <rPh sb="0" eb="2">
      <t>デンピョウ</t>
    </rPh>
    <rPh sb="2" eb="4">
      <t>バンゴウ</t>
    </rPh>
    <phoneticPr fontId="28"/>
  </si>
  <si>
    <t>品工コード</t>
    <rPh sb="0" eb="1">
      <t>ヒン</t>
    </rPh>
    <rPh sb="1" eb="2">
      <t>コウ</t>
    </rPh>
    <phoneticPr fontId="28"/>
  </si>
  <si>
    <t>品　　　名</t>
    <rPh sb="0" eb="1">
      <t>ヒン</t>
    </rPh>
    <rPh sb="4" eb="5">
      <t>メイ</t>
    </rPh>
    <phoneticPr fontId="28"/>
  </si>
  <si>
    <t>数 量</t>
    <rPh sb="0" eb="1">
      <t>スウ</t>
    </rPh>
    <rPh sb="2" eb="3">
      <t>リョウ</t>
    </rPh>
    <phoneticPr fontId="28"/>
  </si>
  <si>
    <t>単　価</t>
    <rPh sb="0" eb="1">
      <t>タン</t>
    </rPh>
    <rPh sb="2" eb="3">
      <t>アタイ</t>
    </rPh>
    <phoneticPr fontId="28"/>
  </si>
  <si>
    <t>金　額</t>
    <rPh sb="0" eb="1">
      <t>カネ</t>
    </rPh>
    <rPh sb="2" eb="3">
      <t>ガク</t>
    </rPh>
    <phoneticPr fontId="28"/>
  </si>
  <si>
    <t>合計</t>
    <rPh sb="0" eb="2">
      <t>ゴウケイ</t>
    </rPh>
    <phoneticPr fontId="28"/>
  </si>
  <si>
    <t>　送り先　　　名古屋市中川区吉津一丁目２１０９番地アクティブ名古屋西アントレE号</t>
    <rPh sb="1" eb="2">
      <t>オク</t>
    </rPh>
    <rPh sb="3" eb="4">
      <t>サキ</t>
    </rPh>
    <rPh sb="7" eb="11">
      <t>ナゴヤシ</t>
    </rPh>
    <rPh sb="11" eb="14">
      <t>ナカガワク</t>
    </rPh>
    <rPh sb="14" eb="15">
      <t>ヨシ</t>
    </rPh>
    <rPh sb="15" eb="16">
      <t>ツ</t>
    </rPh>
    <rPh sb="16" eb="19">
      <t>イッチョウメ</t>
    </rPh>
    <rPh sb="23" eb="25">
      <t>バンチ</t>
    </rPh>
    <rPh sb="30" eb="33">
      <t>ナゴヤ</t>
    </rPh>
    <rPh sb="33" eb="34">
      <t>ニシ</t>
    </rPh>
    <rPh sb="39" eb="40">
      <t>ゴウ</t>
    </rPh>
    <phoneticPr fontId="28"/>
  </si>
  <si>
    <t>　　　　　　　TEL　０５２－４１４－４５８０　　　中部システム工業株式会社</t>
    <rPh sb="26" eb="28">
      <t>チュウブ</t>
    </rPh>
    <rPh sb="32" eb="34">
      <t>コウギョウ</t>
    </rPh>
    <rPh sb="34" eb="38">
      <t>カブシキガイシャ</t>
    </rPh>
    <phoneticPr fontId="28"/>
  </si>
  <si>
    <t>発注者</t>
    <rPh sb="0" eb="3">
      <t>ハッチュウシャ</t>
    </rPh>
    <phoneticPr fontId="28"/>
  </si>
  <si>
    <t>一栁</t>
    <rPh sb="0" eb="2">
      <t>イチヤナギ</t>
    </rPh>
    <phoneticPr fontId="28"/>
  </si>
  <si>
    <t>　日</t>
    <rPh sb="1" eb="2">
      <t>ニチ</t>
    </rPh>
    <phoneticPr fontId="28"/>
  </si>
  <si>
    <t>　　日</t>
    <rPh sb="2" eb="3">
      <t>ニチ</t>
    </rPh>
    <phoneticPr fontId="28"/>
  </si>
  <si>
    <t xml:space="preserve">    　　　　　　　　　　　　　　　　　　　　　　　　　　　　　　  　　工  　事  　指 　 示 　 書　</t>
    <rPh sb="38" eb="39">
      <t>コウ</t>
    </rPh>
    <rPh sb="42" eb="43">
      <t>コト</t>
    </rPh>
    <rPh sb="46" eb="47">
      <t>ユビ</t>
    </rPh>
    <rPh sb="50" eb="51">
      <t>シメス</t>
    </rPh>
    <rPh sb="54" eb="55">
      <t>ショ</t>
    </rPh>
    <phoneticPr fontId="28"/>
  </si>
  <si>
    <t>今井硝子</t>
    <rPh sb="0" eb="2">
      <t>イマイ</t>
    </rPh>
    <rPh sb="2" eb="4">
      <t>ガラス</t>
    </rPh>
    <phoneticPr fontId="28"/>
  </si>
  <si>
    <t>工事番号</t>
    <rPh sb="0" eb="2">
      <t>コウジ</t>
    </rPh>
    <rPh sb="2" eb="4">
      <t>バンゴウ</t>
    </rPh>
    <phoneticPr fontId="28"/>
  </si>
  <si>
    <t>受注番号</t>
    <rPh sb="0" eb="2">
      <t>ジュチュウ</t>
    </rPh>
    <rPh sb="2" eb="4">
      <t>バンゴウ</t>
    </rPh>
    <phoneticPr fontId="28"/>
  </si>
  <si>
    <t>発注日</t>
    <rPh sb="0" eb="2">
      <t>ハッチュウ</t>
    </rPh>
    <rPh sb="2" eb="3">
      <t>ビ</t>
    </rPh>
    <phoneticPr fontId="28"/>
  </si>
  <si>
    <t>全研工業</t>
    <rPh sb="0" eb="1">
      <t>ゼン</t>
    </rPh>
    <rPh sb="1" eb="2">
      <t>ケン</t>
    </rPh>
    <rPh sb="2" eb="4">
      <t>コウギョウ</t>
    </rPh>
    <phoneticPr fontId="28"/>
  </si>
  <si>
    <t>社長　様</t>
    <rPh sb="0" eb="2">
      <t>シャチョウ</t>
    </rPh>
    <rPh sb="3" eb="4">
      <t>サマ</t>
    </rPh>
    <phoneticPr fontId="28"/>
  </si>
  <si>
    <t>中島　様</t>
    <rPh sb="0" eb="2">
      <t>ナカシマ</t>
    </rPh>
    <rPh sb="3" eb="4">
      <t>サマ</t>
    </rPh>
    <phoneticPr fontId="28"/>
  </si>
  <si>
    <t>横山　様</t>
    <rPh sb="0" eb="2">
      <t>ヨコヤマ</t>
    </rPh>
    <rPh sb="3" eb="4">
      <t>サマ</t>
    </rPh>
    <phoneticPr fontId="28"/>
  </si>
  <si>
    <t>三友工業</t>
    <rPh sb="0" eb="1">
      <t>サン</t>
    </rPh>
    <rPh sb="1" eb="2">
      <t>トモ</t>
    </rPh>
    <rPh sb="2" eb="4">
      <t>コウギョウ</t>
    </rPh>
    <phoneticPr fontId="28"/>
  </si>
  <si>
    <t>白鳥ガラス</t>
    <rPh sb="0" eb="2">
      <t>シラトリ</t>
    </rPh>
    <phoneticPr fontId="28"/>
  </si>
  <si>
    <t>専務　様</t>
    <rPh sb="0" eb="2">
      <t>センム</t>
    </rPh>
    <rPh sb="3" eb="4">
      <t>サマ</t>
    </rPh>
    <phoneticPr fontId="28"/>
  </si>
  <si>
    <t>発行日</t>
    <rPh sb="0" eb="2">
      <t>ハッコウ</t>
    </rPh>
    <rPh sb="2" eb="3">
      <t>ヒ</t>
    </rPh>
    <phoneticPr fontId="28"/>
  </si>
  <si>
    <t>納入日</t>
    <rPh sb="0" eb="3">
      <t>ノウニュウビ</t>
    </rPh>
    <phoneticPr fontId="28"/>
  </si>
  <si>
    <t>伊藤硝子</t>
    <rPh sb="0" eb="2">
      <t>イトウ</t>
    </rPh>
    <rPh sb="2" eb="4">
      <t>ガラス</t>
    </rPh>
    <phoneticPr fontId="28"/>
  </si>
  <si>
    <t>大森　様</t>
    <rPh sb="0" eb="2">
      <t>オオモリ</t>
    </rPh>
    <rPh sb="3" eb="4">
      <t>サマ</t>
    </rPh>
    <phoneticPr fontId="28"/>
  </si>
  <si>
    <t>安井　様</t>
    <rPh sb="0" eb="2">
      <t>ヤスイ</t>
    </rPh>
    <rPh sb="3" eb="4">
      <t>サマ</t>
    </rPh>
    <phoneticPr fontId="28"/>
  </si>
  <si>
    <t>織田　様</t>
    <rPh sb="0" eb="2">
      <t>オダ</t>
    </rPh>
    <rPh sb="3" eb="4">
      <t>サマ</t>
    </rPh>
    <phoneticPr fontId="28"/>
  </si>
  <si>
    <t>勝美建材</t>
    <rPh sb="0" eb="2">
      <t>カツミ</t>
    </rPh>
    <rPh sb="2" eb="4">
      <t>ケンザイ</t>
    </rPh>
    <phoneticPr fontId="28"/>
  </si>
  <si>
    <t>作成者</t>
    <rPh sb="0" eb="3">
      <t>サクセイシャ</t>
    </rPh>
    <phoneticPr fontId="28"/>
  </si>
  <si>
    <t>鈴木　様</t>
    <rPh sb="0" eb="2">
      <t>スズキ</t>
    </rPh>
    <rPh sb="3" eb="4">
      <t>サマ</t>
    </rPh>
    <phoneticPr fontId="28"/>
  </si>
  <si>
    <t>大河原　様</t>
    <rPh sb="0" eb="3">
      <t>オオガワラ</t>
    </rPh>
    <rPh sb="4" eb="5">
      <t>サマ</t>
    </rPh>
    <phoneticPr fontId="28"/>
  </si>
  <si>
    <t>松島　様</t>
    <rPh sb="0" eb="2">
      <t>マツシマ</t>
    </rPh>
    <rPh sb="3" eb="4">
      <t>サマ</t>
    </rPh>
    <phoneticPr fontId="28"/>
  </si>
  <si>
    <t>日本メンテナンス</t>
    <rPh sb="0" eb="2">
      <t>ニホン</t>
    </rPh>
    <phoneticPr fontId="28"/>
  </si>
  <si>
    <t>　　　　三輪　様</t>
    <rPh sb="4" eb="6">
      <t>ミワ</t>
    </rPh>
    <rPh sb="7" eb="8">
      <t>サマ</t>
    </rPh>
    <phoneticPr fontId="28"/>
  </si>
  <si>
    <t>得意先名</t>
    <rPh sb="0" eb="3">
      <t>トクイサキ</t>
    </rPh>
    <rPh sb="3" eb="4">
      <t>メイ</t>
    </rPh>
    <phoneticPr fontId="28"/>
  </si>
  <si>
    <t>担当者</t>
    <rPh sb="0" eb="3">
      <t>タントウシャ</t>
    </rPh>
    <phoneticPr fontId="28"/>
  </si>
  <si>
    <t>携帯電話</t>
    <rPh sb="0" eb="2">
      <t>ケイタイ</t>
    </rPh>
    <rPh sb="2" eb="4">
      <t>デンワ</t>
    </rPh>
    <phoneticPr fontId="28"/>
  </si>
  <si>
    <t>得意先　TEL</t>
    <rPh sb="0" eb="3">
      <t>トクイサキ</t>
    </rPh>
    <phoneticPr fontId="28"/>
  </si>
  <si>
    <t>工　　　事　　　名</t>
    <rPh sb="0" eb="1">
      <t>コウ</t>
    </rPh>
    <rPh sb="4" eb="5">
      <t>コト</t>
    </rPh>
    <rPh sb="8" eb="9">
      <t>メイ</t>
    </rPh>
    <phoneticPr fontId="28"/>
  </si>
  <si>
    <t>サッシ納期</t>
    <rPh sb="3" eb="5">
      <t>ノウキ</t>
    </rPh>
    <phoneticPr fontId="28"/>
  </si>
  <si>
    <t>材料手配日</t>
    <rPh sb="0" eb="2">
      <t>ザイリョウ</t>
    </rPh>
    <rPh sb="2" eb="4">
      <t>テハイ</t>
    </rPh>
    <rPh sb="4" eb="5">
      <t>ビ</t>
    </rPh>
    <phoneticPr fontId="28"/>
  </si>
  <si>
    <t>ワールド東海岐阜</t>
    <rPh sb="4" eb="6">
      <t>トウカイ</t>
    </rPh>
    <rPh sb="6" eb="8">
      <t>ギフ</t>
    </rPh>
    <phoneticPr fontId="28"/>
  </si>
  <si>
    <t>宮田所長　様</t>
    <rPh sb="0" eb="2">
      <t>ミヤタ</t>
    </rPh>
    <rPh sb="2" eb="4">
      <t>ショチョウ</t>
    </rPh>
    <rPh sb="5" eb="6">
      <t>サマ</t>
    </rPh>
    <phoneticPr fontId="28"/>
  </si>
  <si>
    <t>佐藤　様</t>
    <rPh sb="0" eb="2">
      <t>サトウ</t>
    </rPh>
    <rPh sb="3" eb="4">
      <t>サマ</t>
    </rPh>
    <phoneticPr fontId="28"/>
  </si>
  <si>
    <t>外山サービス</t>
    <rPh sb="0" eb="2">
      <t>トヤマ</t>
    </rPh>
    <phoneticPr fontId="28"/>
  </si>
  <si>
    <t>外山　様</t>
    <rPh sb="0" eb="2">
      <t>トヤマ</t>
    </rPh>
    <rPh sb="3" eb="4">
      <t>サマ</t>
    </rPh>
    <phoneticPr fontId="28"/>
  </si>
  <si>
    <t>愛知マドコン</t>
    <rPh sb="0" eb="2">
      <t>アイチ</t>
    </rPh>
    <phoneticPr fontId="28"/>
  </si>
  <si>
    <t>松田　様</t>
    <rPh sb="0" eb="2">
      <t>マツダ</t>
    </rPh>
    <rPh sb="3" eb="4">
      <t>サマ</t>
    </rPh>
    <phoneticPr fontId="28"/>
  </si>
  <si>
    <t>ヨシカワテックアド</t>
    <phoneticPr fontId="28"/>
  </si>
  <si>
    <t>吉川　様</t>
    <rPh sb="0" eb="2">
      <t>ヨシカワ</t>
    </rPh>
    <rPh sb="3" eb="4">
      <t>サマ</t>
    </rPh>
    <phoneticPr fontId="28"/>
  </si>
  <si>
    <t>天花寺　様</t>
    <rPh sb="0" eb="1">
      <t>テン</t>
    </rPh>
    <rPh sb="1" eb="2">
      <t>ハナ</t>
    </rPh>
    <rPh sb="2" eb="3">
      <t>テラ</t>
    </rPh>
    <rPh sb="4" eb="5">
      <t>サマ</t>
    </rPh>
    <phoneticPr fontId="28"/>
  </si>
  <si>
    <t>凖栄工業</t>
    <rPh sb="0" eb="1">
      <t>ジュン</t>
    </rPh>
    <rPh sb="1" eb="2">
      <t>エイ</t>
    </rPh>
    <rPh sb="2" eb="4">
      <t>コウギョウ</t>
    </rPh>
    <phoneticPr fontId="28"/>
  </si>
  <si>
    <t>黒川　様</t>
    <rPh sb="0" eb="2">
      <t>クロカワ</t>
    </rPh>
    <rPh sb="3" eb="4">
      <t>サマ</t>
    </rPh>
    <phoneticPr fontId="28"/>
  </si>
  <si>
    <t>０９０－８８６１－４９０１</t>
    <phoneticPr fontId="28"/>
  </si>
  <si>
    <t>元請先</t>
    <rPh sb="0" eb="2">
      <t>モトウケ</t>
    </rPh>
    <rPh sb="2" eb="3">
      <t>サキ</t>
    </rPh>
    <phoneticPr fontId="28"/>
  </si>
  <si>
    <t>工　事　先　住　所</t>
    <rPh sb="0" eb="1">
      <t>コウ</t>
    </rPh>
    <rPh sb="2" eb="3">
      <t>コト</t>
    </rPh>
    <rPh sb="4" eb="5">
      <t>サキ</t>
    </rPh>
    <rPh sb="6" eb="7">
      <t>ジュウ</t>
    </rPh>
    <rPh sb="8" eb="9">
      <t>ショ</t>
    </rPh>
    <phoneticPr fontId="28"/>
  </si>
  <si>
    <t>OP工事</t>
    <rPh sb="2" eb="4">
      <t>コウジ</t>
    </rPh>
    <phoneticPr fontId="28"/>
  </si>
  <si>
    <t>OP完了</t>
    <rPh sb="2" eb="4">
      <t>カンリョウ</t>
    </rPh>
    <phoneticPr fontId="28"/>
  </si>
  <si>
    <t>日東建材工業</t>
    <rPh sb="0" eb="2">
      <t>ニットウ</t>
    </rPh>
    <rPh sb="2" eb="4">
      <t>ケンザイ</t>
    </rPh>
    <rPh sb="4" eb="6">
      <t>コウギョウ</t>
    </rPh>
    <phoneticPr fontId="28"/>
  </si>
  <si>
    <t>安藤　様</t>
    <rPh sb="0" eb="2">
      <t>アンドウ</t>
    </rPh>
    <rPh sb="3" eb="4">
      <t>サマ</t>
    </rPh>
    <phoneticPr fontId="28"/>
  </si>
  <si>
    <t>加藤　様</t>
    <rPh sb="0" eb="2">
      <t>カトウ</t>
    </rPh>
    <rPh sb="3" eb="4">
      <t>サマ</t>
    </rPh>
    <phoneticPr fontId="28"/>
  </si>
  <si>
    <t>S M C リフォーム</t>
    <phoneticPr fontId="28"/>
  </si>
  <si>
    <t>築樋　様</t>
    <rPh sb="0" eb="1">
      <t>チク</t>
    </rPh>
    <rPh sb="1" eb="2">
      <t>トイ</t>
    </rPh>
    <rPh sb="3" eb="4">
      <t>サマ</t>
    </rPh>
    <phoneticPr fontId="28"/>
  </si>
  <si>
    <t>０９０－９０２１－６９４０</t>
    <phoneticPr fontId="28"/>
  </si>
  <si>
    <t>ワールド東海</t>
    <rPh sb="4" eb="6">
      <t>トウカイ</t>
    </rPh>
    <phoneticPr fontId="28"/>
  </si>
  <si>
    <t>村瀬　様</t>
    <rPh sb="0" eb="2">
      <t>ムラセ</t>
    </rPh>
    <rPh sb="3" eb="4">
      <t>サマ</t>
    </rPh>
    <phoneticPr fontId="28"/>
  </si>
  <si>
    <t>石橋　様</t>
    <rPh sb="0" eb="2">
      <t>イシバシ</t>
    </rPh>
    <rPh sb="3" eb="4">
      <t>サマ</t>
    </rPh>
    <phoneticPr fontId="28"/>
  </si>
  <si>
    <t>服部　様</t>
    <rPh sb="0" eb="2">
      <t>ハットリ</t>
    </rPh>
    <rPh sb="3" eb="4">
      <t>サマ</t>
    </rPh>
    <phoneticPr fontId="28"/>
  </si>
  <si>
    <t>株式会社　マーク</t>
    <rPh sb="0" eb="4">
      <t>カブシキガイシャ</t>
    </rPh>
    <phoneticPr fontId="28"/>
  </si>
  <si>
    <t>ゼネコン</t>
    <phoneticPr fontId="28"/>
  </si>
  <si>
    <t>　監督名</t>
    <rPh sb="1" eb="3">
      <t>カントク</t>
    </rPh>
    <rPh sb="3" eb="4">
      <t>メイ</t>
    </rPh>
    <phoneticPr fontId="28"/>
  </si>
  <si>
    <t>現場　　TEL　</t>
    <rPh sb="0" eb="2">
      <t>ゲンバ</t>
    </rPh>
    <phoneticPr fontId="28"/>
  </si>
  <si>
    <t>服部ガラス</t>
    <rPh sb="0" eb="2">
      <t>ハットリ</t>
    </rPh>
    <phoneticPr fontId="28"/>
  </si>
  <si>
    <t>小野田　様</t>
    <rPh sb="0" eb="3">
      <t>オノダ</t>
    </rPh>
    <rPh sb="4" eb="5">
      <t>サマ</t>
    </rPh>
    <phoneticPr fontId="28"/>
  </si>
  <si>
    <t>　様</t>
    <rPh sb="1" eb="2">
      <t>サマ</t>
    </rPh>
    <phoneticPr fontId="28"/>
  </si>
  <si>
    <t>エステック</t>
    <phoneticPr fontId="28"/>
  </si>
  <si>
    <t>竣工日</t>
    <rPh sb="0" eb="2">
      <t>シュンコウ</t>
    </rPh>
    <rPh sb="2" eb="3">
      <t>ビ</t>
    </rPh>
    <phoneticPr fontId="28"/>
  </si>
  <si>
    <t>施工者</t>
    <rPh sb="0" eb="3">
      <t>セコウシャ</t>
    </rPh>
    <phoneticPr fontId="28"/>
  </si>
  <si>
    <t>服部社長　様</t>
    <rPh sb="0" eb="2">
      <t>ハットリ</t>
    </rPh>
    <rPh sb="2" eb="4">
      <t>シャチョウ</t>
    </rPh>
    <rPh sb="5" eb="6">
      <t>サマ</t>
    </rPh>
    <phoneticPr fontId="28"/>
  </si>
  <si>
    <t>斎藤　様</t>
    <rPh sb="0" eb="2">
      <t>サイトウ</t>
    </rPh>
    <rPh sb="3" eb="4">
      <t>サマ</t>
    </rPh>
    <phoneticPr fontId="28"/>
  </si>
  <si>
    <t>久保田　様</t>
    <rPh sb="0" eb="3">
      <t>クボタ</t>
    </rPh>
    <rPh sb="4" eb="5">
      <t>サマ</t>
    </rPh>
    <phoneticPr fontId="28"/>
  </si>
  <si>
    <t>機　　種</t>
    <rPh sb="0" eb="1">
      <t>キ</t>
    </rPh>
    <rPh sb="3" eb="4">
      <t>シュ</t>
    </rPh>
    <phoneticPr fontId="28"/>
  </si>
  <si>
    <t>開口形式</t>
    <phoneticPr fontId="28"/>
  </si>
  <si>
    <t>連窓</t>
    <rPh sb="0" eb="1">
      <t>レン</t>
    </rPh>
    <rPh sb="1" eb="2">
      <t>マド</t>
    </rPh>
    <phoneticPr fontId="28"/>
  </si>
  <si>
    <t>数量</t>
    <rPh sb="0" eb="2">
      <t>スウリョウ</t>
    </rPh>
    <phoneticPr fontId="28"/>
  </si>
  <si>
    <t>ボックス</t>
    <phoneticPr fontId="28"/>
  </si>
  <si>
    <t>角度</t>
    <rPh sb="0" eb="2">
      <t>カクド</t>
    </rPh>
    <phoneticPr fontId="28"/>
  </si>
  <si>
    <t>色</t>
    <rPh sb="0" eb="1">
      <t>イロ</t>
    </rPh>
    <phoneticPr fontId="28"/>
  </si>
  <si>
    <t>FL＋</t>
    <phoneticPr fontId="28"/>
  </si>
  <si>
    <t>サッシメーカー</t>
    <phoneticPr fontId="28"/>
  </si>
  <si>
    <t>シリーズ</t>
    <phoneticPr fontId="28"/>
  </si>
  <si>
    <t>新和建材㈱</t>
    <rPh sb="0" eb="2">
      <t>シンワ</t>
    </rPh>
    <rPh sb="2" eb="4">
      <t>ケンザイ</t>
    </rPh>
    <phoneticPr fontId="28"/>
  </si>
  <si>
    <t>水谷　様</t>
    <rPh sb="0" eb="2">
      <t>ミズタニ</t>
    </rPh>
    <rPh sb="3" eb="4">
      <t>サマ</t>
    </rPh>
    <phoneticPr fontId="28"/>
  </si>
  <si>
    <t>(有)山岸商店</t>
    <rPh sb="0" eb="3">
      <t>ユウ</t>
    </rPh>
    <rPh sb="3" eb="5">
      <t>ヤマギシ</t>
    </rPh>
    <rPh sb="5" eb="7">
      <t>ショウテン</t>
    </rPh>
    <phoneticPr fontId="28"/>
  </si>
  <si>
    <t>荒木　様</t>
    <rPh sb="0" eb="2">
      <t>アラキ</t>
    </rPh>
    <rPh sb="3" eb="4">
      <t>サマ</t>
    </rPh>
    <phoneticPr fontId="28"/>
  </si>
  <si>
    <t>三和式ベンチレーター</t>
    <rPh sb="0" eb="2">
      <t>サンワ</t>
    </rPh>
    <rPh sb="2" eb="3">
      <t>シキ</t>
    </rPh>
    <phoneticPr fontId="28"/>
  </si>
  <si>
    <t>田中　様</t>
    <rPh sb="0" eb="2">
      <t>タナカ</t>
    </rPh>
    <rPh sb="3" eb="4">
      <t>サマ</t>
    </rPh>
    <phoneticPr fontId="28"/>
  </si>
  <si>
    <t>森本　様</t>
    <rPh sb="0" eb="2">
      <t>モリモト</t>
    </rPh>
    <rPh sb="3" eb="4">
      <t>サマ</t>
    </rPh>
    <phoneticPr fontId="28"/>
  </si>
  <si>
    <t>村田　様</t>
    <rPh sb="0" eb="2">
      <t>ムラタ</t>
    </rPh>
    <rPh sb="3" eb="4">
      <t>サマ</t>
    </rPh>
    <phoneticPr fontId="28"/>
  </si>
  <si>
    <t>愛知マドコン豊橋</t>
    <rPh sb="0" eb="2">
      <t>アイチ</t>
    </rPh>
    <rPh sb="6" eb="8">
      <t>トヨハシ</t>
    </rPh>
    <phoneticPr fontId="28"/>
  </si>
  <si>
    <t>日晶グラシス</t>
    <rPh sb="0" eb="2">
      <t>ニッショウ</t>
    </rPh>
    <phoneticPr fontId="28"/>
  </si>
  <si>
    <t>原　様</t>
    <rPh sb="0" eb="1">
      <t>ハラ</t>
    </rPh>
    <rPh sb="2" eb="3">
      <t>サマ</t>
    </rPh>
    <phoneticPr fontId="28"/>
  </si>
  <si>
    <t>山川　様</t>
    <rPh sb="0" eb="2">
      <t>ヤマカワ</t>
    </rPh>
    <rPh sb="3" eb="4">
      <t>サマ</t>
    </rPh>
    <phoneticPr fontId="28"/>
  </si>
  <si>
    <t>平塚　様</t>
    <rPh sb="0" eb="2">
      <t>ヒラツカ</t>
    </rPh>
    <rPh sb="3" eb="4">
      <t>サマ</t>
    </rPh>
    <phoneticPr fontId="28"/>
  </si>
  <si>
    <t>　　　　　　　　　　　[　　修　理　工　事　内　容　]</t>
    <rPh sb="14" eb="15">
      <t>オサム</t>
    </rPh>
    <rPh sb="16" eb="17">
      <t>リ</t>
    </rPh>
    <rPh sb="18" eb="19">
      <t>コウ</t>
    </rPh>
    <rPh sb="20" eb="21">
      <t>コト</t>
    </rPh>
    <rPh sb="22" eb="23">
      <t>ナイ</t>
    </rPh>
    <rPh sb="24" eb="25">
      <t>カタチ</t>
    </rPh>
    <phoneticPr fontId="28"/>
  </si>
  <si>
    <t>必要部品</t>
    <rPh sb="0" eb="2">
      <t>ヒツヨウ</t>
    </rPh>
    <rPh sb="2" eb="4">
      <t>ブヒン</t>
    </rPh>
    <phoneticPr fontId="28"/>
  </si>
  <si>
    <t>注文数</t>
    <rPh sb="0" eb="2">
      <t>チュウモン</t>
    </rPh>
    <rPh sb="2" eb="3">
      <t>スウ</t>
    </rPh>
    <phoneticPr fontId="28"/>
  </si>
  <si>
    <t>SLA　３０２０１</t>
    <phoneticPr fontId="28"/>
  </si>
  <si>
    <t>ハンドルボックス</t>
    <phoneticPr fontId="28"/>
  </si>
  <si>
    <t>SLA　３０２２０－Aー２００</t>
    <phoneticPr fontId="28"/>
  </si>
  <si>
    <t>ハンドルボックス本体</t>
    <rPh sb="8" eb="10">
      <t>ホンタイ</t>
    </rPh>
    <phoneticPr fontId="28"/>
  </si>
  <si>
    <t>SLA　３０２０１－５２</t>
    <phoneticPr fontId="28"/>
  </si>
  <si>
    <t>埋込ジョインター</t>
    <rPh sb="0" eb="2">
      <t>ウメコミ</t>
    </rPh>
    <phoneticPr fontId="28"/>
  </si>
  <si>
    <t>SLA　２５２０２－A</t>
    <phoneticPr fontId="28"/>
  </si>
  <si>
    <t>コネクターセット　A</t>
    <phoneticPr fontId="28"/>
  </si>
  <si>
    <t>SLA　３０４２０－Aー１００</t>
    <phoneticPr fontId="28"/>
  </si>
  <si>
    <t>３００フェース</t>
    <phoneticPr fontId="28"/>
  </si>
  <si>
    <t>SLA　３０００３－１</t>
    <phoneticPr fontId="28"/>
  </si>
  <si>
    <t>メインパイプ</t>
    <phoneticPr fontId="28"/>
  </si>
  <si>
    <t>SLA　</t>
    <phoneticPr fontId="28"/>
  </si>
  <si>
    <t>チェーンケース</t>
    <phoneticPr fontId="28"/>
  </si>
  <si>
    <t>SLA　３０００３－２</t>
    <phoneticPr fontId="28"/>
  </si>
  <si>
    <t>終端パイプ</t>
    <rPh sb="0" eb="2">
      <t>シュウタン</t>
    </rPh>
    <phoneticPr fontId="28"/>
  </si>
  <si>
    <t>SLS　３０００４－１０</t>
    <phoneticPr fontId="28"/>
  </si>
  <si>
    <t>メインケーブル１０M</t>
    <phoneticPr fontId="28"/>
  </si>
  <si>
    <t>SUS</t>
    <phoneticPr fontId="28"/>
  </si>
  <si>
    <t>SLA　３０１０４－２４</t>
    <phoneticPr fontId="28"/>
  </si>
  <si>
    <t>メインケーブル２４M</t>
    <phoneticPr fontId="28"/>
  </si>
  <si>
    <t>SLS　３０００４－２４</t>
    <phoneticPr fontId="28"/>
  </si>
  <si>
    <t>障子金具</t>
    <rPh sb="0" eb="2">
      <t>ショウジ</t>
    </rPh>
    <rPh sb="2" eb="4">
      <t>カナグ</t>
    </rPh>
    <phoneticPr fontId="28"/>
  </si>
  <si>
    <t>SLA　３０１０５</t>
    <phoneticPr fontId="28"/>
  </si>
  <si>
    <t>パイプジョイント</t>
    <phoneticPr fontId="28"/>
  </si>
  <si>
    <t>SLA　３０１０４－１６</t>
    <phoneticPr fontId="28"/>
  </si>
  <si>
    <t>メインケーブル１６M</t>
    <phoneticPr fontId="28"/>
  </si>
  <si>
    <t>SLA　３０１０８</t>
    <phoneticPr fontId="28"/>
  </si>
  <si>
    <t>クランプ</t>
    <phoneticPr fontId="28"/>
  </si>
  <si>
    <t>SLA　３０１０４－１０</t>
    <phoneticPr fontId="28"/>
  </si>
  <si>
    <t>SLA　５０３０１－A</t>
    <phoneticPr fontId="28"/>
  </si>
  <si>
    <t>L1000</t>
    <phoneticPr fontId="28"/>
  </si>
  <si>
    <t>SLS　５５２０３－A　</t>
    <phoneticPr fontId="28"/>
  </si>
  <si>
    <t>障子金具　A</t>
    <rPh sb="0" eb="2">
      <t>ショウジ</t>
    </rPh>
    <rPh sb="2" eb="4">
      <t>カナグ</t>
    </rPh>
    <phoneticPr fontId="28"/>
  </si>
  <si>
    <t>SLA　５０３０１－B</t>
    <phoneticPr fontId="28"/>
  </si>
  <si>
    <t>コネクターセット　B</t>
    <phoneticPr fontId="28"/>
  </si>
  <si>
    <t>L1300</t>
    <phoneticPr fontId="28"/>
  </si>
  <si>
    <t>SLA　５５１０６</t>
    <phoneticPr fontId="28"/>
  </si>
  <si>
    <t>終端ネジ</t>
    <rPh sb="0" eb="2">
      <t>シュウタン</t>
    </rPh>
    <phoneticPr fontId="28"/>
  </si>
  <si>
    <t>アッシー</t>
    <phoneticPr fontId="28"/>
  </si>
  <si>
    <t>SLA　５５１０４－B</t>
    <phoneticPr fontId="28"/>
  </si>
  <si>
    <t>コネクター取付金具　B</t>
    <rPh sb="5" eb="7">
      <t>トリツケ</t>
    </rPh>
    <rPh sb="7" eb="9">
      <t>カナグ</t>
    </rPh>
    <phoneticPr fontId="28"/>
  </si>
  <si>
    <t>SLA　３０２２２</t>
    <phoneticPr fontId="28"/>
  </si>
  <si>
    <t>サブアッシー</t>
    <phoneticPr fontId="28"/>
  </si>
  <si>
    <t>SLA　５０００２</t>
    <phoneticPr fontId="28"/>
  </si>
  <si>
    <t>５００用コネクターセット</t>
    <rPh sb="3" eb="4">
      <t>ヨウ</t>
    </rPh>
    <phoneticPr fontId="28"/>
  </si>
  <si>
    <t>SLA　３０２２２－SUB</t>
    <phoneticPr fontId="28"/>
  </si>
  <si>
    <t>KA　３０－１０１１</t>
    <phoneticPr fontId="28"/>
  </si>
  <si>
    <t>ケース取付金具</t>
    <rPh sb="3" eb="5">
      <t>トリツケ</t>
    </rPh>
    <rPh sb="5" eb="7">
      <t>カナグ</t>
    </rPh>
    <phoneticPr fontId="28"/>
  </si>
  <si>
    <t>SLA　３０１２２－２５M</t>
    <phoneticPr fontId="28"/>
  </si>
  <si>
    <t>１３Фフレコン</t>
    <phoneticPr fontId="28"/>
  </si>
  <si>
    <t>SLA　３００５０－A</t>
    <phoneticPr fontId="28"/>
  </si>
  <si>
    <t>　　　　　　　完　了　証　明　書　　　　　　令和  ５　年　　　月　　　　日</t>
    <phoneticPr fontId="28"/>
  </si>
  <si>
    <t>SLA　３０２０２</t>
    <phoneticPr fontId="28"/>
  </si>
  <si>
    <t>　工事内容</t>
    <rPh sb="1" eb="3">
      <t>コウジ</t>
    </rPh>
    <rPh sb="3" eb="5">
      <t>ナイヨウ</t>
    </rPh>
    <phoneticPr fontId="28"/>
  </si>
  <si>
    <t>SLA　３０１０２</t>
    <phoneticPr fontId="28"/>
  </si>
  <si>
    <t>KA　３０－３０１</t>
    <phoneticPr fontId="28"/>
  </si>
  <si>
    <t>KA２５－２０３</t>
    <phoneticPr fontId="28"/>
  </si>
  <si>
    <t>本体ブラケット</t>
    <rPh sb="0" eb="2">
      <t>ホンタイ</t>
    </rPh>
    <phoneticPr fontId="28"/>
  </si>
  <si>
    <t>SLA　３０１０７－B</t>
    <phoneticPr fontId="28"/>
  </si>
  <si>
    <t>障子金具　首振り</t>
    <rPh sb="0" eb="2">
      <t>ショウジ</t>
    </rPh>
    <rPh sb="2" eb="4">
      <t>カナグ</t>
    </rPh>
    <rPh sb="5" eb="6">
      <t>クビ</t>
    </rPh>
    <rPh sb="6" eb="7">
      <t>フ</t>
    </rPh>
    <phoneticPr fontId="28"/>
  </si>
  <si>
    <t>KA２５－４０６</t>
    <phoneticPr fontId="28"/>
  </si>
  <si>
    <t>内倒しブラケット</t>
    <rPh sb="0" eb="2">
      <t>ウチタオ</t>
    </rPh>
    <phoneticPr fontId="28"/>
  </si>
  <si>
    <t>L＝１６０</t>
    <phoneticPr fontId="28"/>
  </si>
  <si>
    <t>　証 明 者　　　　　　　　　　　　　　　　　　　　　　                          　㊞</t>
    <rPh sb="1" eb="2">
      <t>アカシ</t>
    </rPh>
    <rPh sb="3" eb="4">
      <t>メイ</t>
    </rPh>
    <rPh sb="5" eb="6">
      <t>シャ</t>
    </rPh>
    <phoneticPr fontId="28"/>
  </si>
  <si>
    <t>SLA　３０１０７－C</t>
    <phoneticPr fontId="28"/>
  </si>
  <si>
    <t>KA２５－００１</t>
    <phoneticPr fontId="28"/>
  </si>
  <si>
    <t>コネクター取付金具</t>
    <rPh sb="5" eb="9">
      <t>トリツケカナグ</t>
    </rPh>
    <phoneticPr fontId="28"/>
  </si>
  <si>
    <t>Z</t>
    <phoneticPr fontId="28"/>
  </si>
  <si>
    <t>SLA　２０１５０－A</t>
    <phoneticPr fontId="28"/>
  </si>
  <si>
    <t>チェーンケース外倒し</t>
    <rPh sb="7" eb="8">
      <t>ソト</t>
    </rPh>
    <rPh sb="8" eb="9">
      <t>タオ</t>
    </rPh>
    <phoneticPr fontId="28"/>
  </si>
  <si>
    <t>KA２５－２０１</t>
    <phoneticPr fontId="28"/>
  </si>
  <si>
    <t>L</t>
    <phoneticPr fontId="28"/>
  </si>
  <si>
    <t xml:space="preserve">    　　　　　工　事　指　示　書</t>
    <rPh sb="9" eb="10">
      <t>コウ</t>
    </rPh>
    <rPh sb="11" eb="12">
      <t>コト</t>
    </rPh>
    <rPh sb="13" eb="14">
      <t>ユビ</t>
    </rPh>
    <rPh sb="15" eb="16">
      <t>シメス</t>
    </rPh>
    <rPh sb="17" eb="18">
      <t>ショ</t>
    </rPh>
    <phoneticPr fontId="28"/>
  </si>
  <si>
    <t>山本耕司　様</t>
    <rPh sb="0" eb="2">
      <t>ヤマモト</t>
    </rPh>
    <rPh sb="2" eb="4">
      <t>コウジ</t>
    </rPh>
    <rPh sb="5" eb="6">
      <t>サマ</t>
    </rPh>
    <phoneticPr fontId="28"/>
  </si>
  <si>
    <t>　０８０－３３５８－９６７５</t>
    <phoneticPr fontId="28"/>
  </si>
  <si>
    <t>三協立山</t>
    <rPh sb="0" eb="2">
      <t>サンキョウ</t>
    </rPh>
    <rPh sb="2" eb="4">
      <t>タテヤマ</t>
    </rPh>
    <phoneticPr fontId="28"/>
  </si>
  <si>
    <t>MTG－７０R</t>
    <phoneticPr fontId="28"/>
  </si>
  <si>
    <t>日鉄物産システム建築</t>
    <rPh sb="0" eb="2">
      <t>ニッテツ</t>
    </rPh>
    <rPh sb="2" eb="4">
      <t>ブッサン</t>
    </rPh>
    <rPh sb="8" eb="10">
      <t>ケンチク</t>
    </rPh>
    <phoneticPr fontId="28"/>
  </si>
  <si>
    <t>綾部　様</t>
    <rPh sb="0" eb="2">
      <t>アヤベ</t>
    </rPh>
    <rPh sb="3" eb="4">
      <t>サマ</t>
    </rPh>
    <phoneticPr fontId="28"/>
  </si>
  <si>
    <t>０７０－１４２０－９７４５</t>
    <phoneticPr fontId="28"/>
  </si>
  <si>
    <t>オルック㈱</t>
    <phoneticPr fontId="28"/>
  </si>
  <si>
    <t>斉　藤　様</t>
    <rPh sb="0" eb="1">
      <t>サイ</t>
    </rPh>
    <rPh sb="2" eb="3">
      <t>フジ</t>
    </rPh>
    <rPh sb="4" eb="5">
      <t>サマ</t>
    </rPh>
    <phoneticPr fontId="28"/>
  </si>
  <si>
    <t>中崎　様</t>
    <rPh sb="0" eb="2">
      <t>ナカザキ</t>
    </rPh>
    <rPh sb="3" eb="4">
      <t>サマ</t>
    </rPh>
    <phoneticPr fontId="28"/>
  </si>
  <si>
    <t>　０８０－２０６４－０５４７</t>
    <phoneticPr fontId="28"/>
  </si>
  <si>
    <t>LIXIL</t>
    <phoneticPr fontId="28"/>
  </si>
  <si>
    <t>PRO-SE</t>
    <phoneticPr fontId="28"/>
  </si>
  <si>
    <t>社 長　様</t>
    <rPh sb="0" eb="1">
      <t>シャ</t>
    </rPh>
    <rPh sb="2" eb="3">
      <t>チョウ</t>
    </rPh>
    <rPh sb="4" eb="5">
      <t>サマ</t>
    </rPh>
    <phoneticPr fontId="28"/>
  </si>
  <si>
    <t>　０９０－６９０８－１０５７</t>
    <phoneticPr fontId="28"/>
  </si>
  <si>
    <t>清水　様</t>
    <rPh sb="0" eb="2">
      <t>シミズ</t>
    </rPh>
    <rPh sb="3" eb="4">
      <t>サマ</t>
    </rPh>
    <phoneticPr fontId="28"/>
  </si>
  <si>
    <t>　０９０－７１７４－１４３６</t>
    <phoneticPr fontId="28"/>
  </si>
  <si>
    <t>服部ガラス㈱</t>
    <rPh sb="0" eb="2">
      <t>ハットリ</t>
    </rPh>
    <phoneticPr fontId="28"/>
  </si>
  <si>
    <t>戸谷　様</t>
    <rPh sb="0" eb="2">
      <t>トタニ</t>
    </rPh>
    <rPh sb="3" eb="4">
      <t>サマ</t>
    </rPh>
    <phoneticPr fontId="28"/>
  </si>
  <si>
    <t>伊藤硝子㈱</t>
    <rPh sb="0" eb="2">
      <t>イトウ</t>
    </rPh>
    <rPh sb="2" eb="4">
      <t>ガラス</t>
    </rPh>
    <phoneticPr fontId="28"/>
  </si>
  <si>
    <t>山中　様</t>
    <rPh sb="0" eb="2">
      <t>ヤマナカ</t>
    </rPh>
    <rPh sb="3" eb="4">
      <t>サマ</t>
    </rPh>
    <phoneticPr fontId="28"/>
  </si>
  <si>
    <t>安　藤　様</t>
    <rPh sb="0" eb="1">
      <t>アン</t>
    </rPh>
    <rPh sb="2" eb="3">
      <t>フジ</t>
    </rPh>
    <rPh sb="4" eb="5">
      <t>サマ</t>
    </rPh>
    <phoneticPr fontId="28"/>
  </si>
  <si>
    <t>ワールド岐阜</t>
    <rPh sb="4" eb="6">
      <t>ギフ</t>
    </rPh>
    <phoneticPr fontId="28"/>
  </si>
  <si>
    <t>山本  様</t>
    <rPh sb="0" eb="2">
      <t>ヤマモト</t>
    </rPh>
    <rPh sb="4" eb="5">
      <t>サマ</t>
    </rPh>
    <phoneticPr fontId="28"/>
  </si>
  <si>
    <t>宮田  様</t>
    <rPh sb="0" eb="2">
      <t>ミヤタ</t>
    </rPh>
    <rPh sb="4" eb="5">
      <t>サマ</t>
    </rPh>
    <phoneticPr fontId="28"/>
  </si>
  <si>
    <t>横山  様</t>
    <rPh sb="0" eb="2">
      <t>ヨコヤマ</t>
    </rPh>
    <rPh sb="4" eb="5">
      <t>サマ</t>
    </rPh>
    <phoneticPr fontId="28"/>
  </si>
  <si>
    <t>加藤  様</t>
    <rPh sb="0" eb="2">
      <t>カトウ</t>
    </rPh>
    <rPh sb="4" eb="5">
      <t>サマ</t>
    </rPh>
    <phoneticPr fontId="28"/>
  </si>
  <si>
    <t xml:space="preserve">  様</t>
    <rPh sb="2" eb="3">
      <t>サマ</t>
    </rPh>
    <phoneticPr fontId="28"/>
  </si>
  <si>
    <t>村瀬  様</t>
    <rPh sb="0" eb="2">
      <t>ムラセ</t>
    </rPh>
    <rPh sb="4" eb="5">
      <t>サマ</t>
    </rPh>
    <phoneticPr fontId="28"/>
  </si>
  <si>
    <t>服部  様</t>
    <rPh sb="0" eb="2">
      <t>ハットリ</t>
    </rPh>
    <rPh sb="4" eb="5">
      <t>サマ</t>
    </rPh>
    <phoneticPr fontId="28"/>
  </si>
  <si>
    <t>斎藤  様</t>
    <rPh sb="0" eb="2">
      <t>サイトウ</t>
    </rPh>
    <rPh sb="4" eb="5">
      <t>サマ</t>
    </rPh>
    <phoneticPr fontId="28"/>
  </si>
  <si>
    <t>松田  様</t>
    <rPh sb="0" eb="2">
      <t>マツダ</t>
    </rPh>
    <rPh sb="4" eb="5">
      <t>サマ</t>
    </rPh>
    <phoneticPr fontId="28"/>
  </si>
  <si>
    <t>（株）オ－ライズ</t>
    <phoneticPr fontId="28"/>
  </si>
  <si>
    <t>愛葉　様</t>
    <rPh sb="0" eb="1">
      <t>アイ</t>
    </rPh>
    <rPh sb="1" eb="2">
      <t>ハ</t>
    </rPh>
    <rPh sb="3" eb="4">
      <t>サマ</t>
    </rPh>
    <phoneticPr fontId="28"/>
  </si>
  <si>
    <t>０８０－３９１３－５６６４</t>
    <phoneticPr fontId="28"/>
  </si>
  <si>
    <t>(有)今井硝子</t>
    <rPh sb="0" eb="3">
      <t>ユウ</t>
    </rPh>
    <rPh sb="3" eb="5">
      <t>イマイ</t>
    </rPh>
    <rPh sb="5" eb="7">
      <t>ガラス</t>
    </rPh>
    <phoneticPr fontId="28"/>
  </si>
  <si>
    <t>（株）前田建商</t>
    <rPh sb="3" eb="5">
      <t>マエダ</t>
    </rPh>
    <rPh sb="5" eb="6">
      <t>タツル</t>
    </rPh>
    <rPh sb="6" eb="7">
      <t>ショウ</t>
    </rPh>
    <phoneticPr fontId="28"/>
  </si>
  <si>
    <t>新和建材</t>
    <rPh sb="0" eb="2">
      <t>シンワ</t>
    </rPh>
    <rPh sb="2" eb="4">
      <t>ケンザイ</t>
    </rPh>
    <phoneticPr fontId="28"/>
  </si>
  <si>
    <t>(有)勝美建材</t>
    <rPh sb="0" eb="3">
      <t>ユウ</t>
    </rPh>
    <rPh sb="3" eb="5">
      <t>カツミ</t>
    </rPh>
    <rPh sb="5" eb="7">
      <t>ケンザイ</t>
    </rPh>
    <phoneticPr fontId="28"/>
  </si>
  <si>
    <t>SLA　８１５１１-A</t>
    <phoneticPr fontId="28"/>
  </si>
  <si>
    <t>ハンドルボックス８０Ⅲ</t>
    <phoneticPr fontId="28"/>
  </si>
  <si>
    <t>SLS　　８１１３０－１０</t>
    <phoneticPr fontId="28"/>
  </si>
  <si>
    <t>ワイヤーロープ１０M</t>
    <phoneticPr fontId="28"/>
  </si>
  <si>
    <t>LXRBFU－０１</t>
    <phoneticPr fontId="28"/>
  </si>
  <si>
    <t>内倒し３点滑車セット</t>
    <rPh sb="0" eb="2">
      <t>ウチタオ</t>
    </rPh>
    <rPh sb="4" eb="7">
      <t>テンカッシャ</t>
    </rPh>
    <phoneticPr fontId="28"/>
  </si>
  <si>
    <t>SLA　８１４１０-A-200</t>
    <phoneticPr fontId="28"/>
  </si>
  <si>
    <t>逆転防止ハンドル</t>
    <rPh sb="0" eb="2">
      <t>ギャクテン</t>
    </rPh>
    <rPh sb="2" eb="4">
      <t>ボウシ</t>
    </rPh>
    <phoneticPr fontId="28"/>
  </si>
  <si>
    <t>SLS　　８１１３０－１４</t>
    <phoneticPr fontId="28"/>
  </si>
  <si>
    <t>ワイヤーロープ１４M</t>
    <phoneticPr fontId="28"/>
  </si>
  <si>
    <t>LXRBFU－０５</t>
    <phoneticPr fontId="28"/>
  </si>
  <si>
    <t>内倒しフレコン金具セト</t>
    <rPh sb="0" eb="1">
      <t>ウチ</t>
    </rPh>
    <rPh sb="1" eb="2">
      <t>タオ</t>
    </rPh>
    <rPh sb="7" eb="9">
      <t>カナグ</t>
    </rPh>
    <phoneticPr fontId="28"/>
  </si>
  <si>
    <t>SLA　８１１５０-A</t>
    <phoneticPr fontId="28"/>
  </si>
  <si>
    <t>ハンドルL＝１００</t>
    <phoneticPr fontId="28"/>
  </si>
  <si>
    <t>SLS　　８１１３０－１８</t>
    <phoneticPr fontId="28"/>
  </si>
  <si>
    <t>ワイヤーロープ１８M</t>
    <phoneticPr fontId="28"/>
  </si>
  <si>
    <t>LXRBFS－０１</t>
    <phoneticPr fontId="28"/>
  </si>
  <si>
    <t>外倒し３点滑車セット</t>
    <rPh sb="0" eb="1">
      <t>ソト</t>
    </rPh>
    <rPh sb="1" eb="2">
      <t>タオ</t>
    </rPh>
    <rPh sb="4" eb="7">
      <t>テンカッシャ</t>
    </rPh>
    <phoneticPr fontId="28"/>
  </si>
  <si>
    <t>SLA　８２６２０-A-200</t>
    <phoneticPr fontId="28"/>
  </si>
  <si>
    <t>１１０Ⅲ本体</t>
    <rPh sb="4" eb="6">
      <t>ホンタイ</t>
    </rPh>
    <phoneticPr fontId="28"/>
  </si>
  <si>
    <t>SLS　　８１１３０－２６</t>
    <phoneticPr fontId="28"/>
  </si>
  <si>
    <t>ワイヤーロープ２６M</t>
    <phoneticPr fontId="28"/>
  </si>
  <si>
    <t>LXRBFS－０５</t>
    <phoneticPr fontId="28"/>
  </si>
  <si>
    <t>外倒しフレコン金具セト</t>
    <rPh sb="0" eb="2">
      <t>ソトタオ</t>
    </rPh>
    <rPh sb="7" eb="9">
      <t>カナグ</t>
    </rPh>
    <phoneticPr fontId="28"/>
  </si>
  <si>
    <t>SLA　８２６２０-A-１00</t>
    <phoneticPr fontId="28"/>
  </si>
  <si>
    <t>１１０Ⅲフェース</t>
    <phoneticPr fontId="28"/>
  </si>
  <si>
    <t>SLA　　８２１３１－２５</t>
    <phoneticPr fontId="28"/>
  </si>
  <si>
    <t>コンジット９　　２５M</t>
    <phoneticPr fontId="28"/>
  </si>
  <si>
    <t>SLA　８００１０－０２</t>
    <phoneticPr fontId="28"/>
  </si>
  <si>
    <r>
      <t>１１</t>
    </r>
    <r>
      <rPr>
        <sz val="9"/>
        <rFont val="Yu Gothic"/>
        <family val="3"/>
        <charset val="128"/>
      </rPr>
      <t>Φ</t>
    </r>
    <r>
      <rPr>
        <sz val="9"/>
        <rFont val="ＭＳ Ｐゴシック"/>
        <family val="3"/>
        <charset val="128"/>
      </rPr>
      <t>ケーシングキャップ</t>
    </r>
    <phoneticPr fontId="28"/>
  </si>
  <si>
    <t>SLZ　８２６２０-A-１00</t>
    <phoneticPr fontId="28"/>
  </si>
  <si>
    <t>１１０Ⅲフェース黒</t>
    <rPh sb="8" eb="9">
      <t>クロ</t>
    </rPh>
    <phoneticPr fontId="28"/>
  </si>
  <si>
    <t>SLA　　８２１３１－１０</t>
    <phoneticPr fontId="28"/>
  </si>
  <si>
    <t>コンジット９　　１０M</t>
    <phoneticPr fontId="28"/>
  </si>
  <si>
    <t>SLA　８００１０－０３</t>
    <phoneticPr fontId="28"/>
  </si>
  <si>
    <r>
      <t>１１</t>
    </r>
    <r>
      <rPr>
        <sz val="9"/>
        <rFont val="Yu Gothic"/>
        <family val="3"/>
        <charset val="128"/>
      </rPr>
      <t>Φコンジットクランプ</t>
    </r>
    <phoneticPr fontId="28"/>
  </si>
  <si>
    <t>SLA　８０６２０-A-200</t>
    <phoneticPr fontId="28"/>
  </si>
  <si>
    <t>１００本体</t>
    <rPh sb="3" eb="5">
      <t>ホンタイ</t>
    </rPh>
    <phoneticPr fontId="28"/>
  </si>
  <si>
    <t>SLA　８２０４２</t>
    <phoneticPr fontId="28"/>
  </si>
  <si>
    <t>コンジットクランプ　９　　</t>
    <phoneticPr fontId="28"/>
  </si>
  <si>
    <t>SLA　８０６２０-A-１00</t>
    <phoneticPr fontId="28"/>
  </si>
  <si>
    <t>１００フェース　A</t>
    <phoneticPr fontId="28"/>
  </si>
  <si>
    <t>SLA　８６１０４</t>
    <phoneticPr fontId="28"/>
  </si>
  <si>
    <t>障子滑車　</t>
    <rPh sb="0" eb="2">
      <t>ショウジ</t>
    </rPh>
    <rPh sb="2" eb="4">
      <t>カッシャ</t>
    </rPh>
    <phoneticPr fontId="28"/>
  </si>
  <si>
    <t>SLB　８５６０３－C</t>
    <phoneticPr fontId="28"/>
  </si>
  <si>
    <t>枠滑車　C　ブロンズ</t>
    <rPh sb="0" eb="1">
      <t>ワク</t>
    </rPh>
    <rPh sb="1" eb="3">
      <t>カッシャ</t>
    </rPh>
    <phoneticPr fontId="28"/>
  </si>
  <si>
    <t>SLA　８０６２０-B-１00</t>
    <phoneticPr fontId="28"/>
  </si>
  <si>
    <t>１１０ ４フェース　</t>
    <phoneticPr fontId="28"/>
  </si>
  <si>
    <t>SLA　８５４０３－C</t>
    <phoneticPr fontId="28"/>
  </si>
  <si>
    <t>枠滑車　C</t>
    <rPh sb="0" eb="1">
      <t>ワク</t>
    </rPh>
    <rPh sb="1" eb="3">
      <t>カッシャ</t>
    </rPh>
    <phoneticPr fontId="28"/>
  </si>
  <si>
    <t>SLB　８５６０３－D</t>
    <phoneticPr fontId="28"/>
  </si>
  <si>
    <t>枠滑車　D　ブロンズ</t>
    <rPh sb="0" eb="1">
      <t>ワク</t>
    </rPh>
    <rPh sb="1" eb="3">
      <t>カッシャ</t>
    </rPh>
    <phoneticPr fontId="28"/>
  </si>
  <si>
    <t>　</t>
    <phoneticPr fontId="28"/>
  </si>
  <si>
    <t>SLA　８０６２０-C-１00</t>
    <phoneticPr fontId="28"/>
  </si>
  <si>
    <t>１１０Ⅱフェース</t>
    <phoneticPr fontId="28"/>
  </si>
  <si>
    <t>SLA　８５４０３－D</t>
    <phoneticPr fontId="28"/>
  </si>
  <si>
    <t>枠滑車　D</t>
    <rPh sb="0" eb="1">
      <t>ワク</t>
    </rPh>
    <rPh sb="1" eb="3">
      <t>カッシャ</t>
    </rPh>
    <phoneticPr fontId="28"/>
  </si>
  <si>
    <t>SLB　８５５０４</t>
    <phoneticPr fontId="28"/>
  </si>
  <si>
    <t>障子滑車　　ブロンズ</t>
    <rPh sb="0" eb="2">
      <t>ショウジ</t>
    </rPh>
    <rPh sb="2" eb="4">
      <t>カッシャ</t>
    </rPh>
    <phoneticPr fontId="28"/>
  </si>
  <si>
    <t>SLA　８２６1０-A-200</t>
    <phoneticPr fontId="28"/>
  </si>
  <si>
    <t>１１０Ⅲ露出本体</t>
    <rPh sb="4" eb="6">
      <t>ロシュツ</t>
    </rPh>
    <rPh sb="6" eb="8">
      <t>ホンタイ</t>
    </rPh>
    <phoneticPr fontId="28"/>
  </si>
  <si>
    <t>SLA　８５３０４</t>
    <phoneticPr fontId="28"/>
  </si>
  <si>
    <t>障子滑車</t>
    <rPh sb="0" eb="2">
      <t>ショウジ</t>
    </rPh>
    <rPh sb="2" eb="4">
      <t>カッシャ</t>
    </rPh>
    <phoneticPr fontId="28"/>
  </si>
  <si>
    <t>SLB　８５５０９－G</t>
    <phoneticPr fontId="28"/>
  </si>
  <si>
    <t>転向滑車　G</t>
    <rPh sb="0" eb="4">
      <t>テンコウカッシャ</t>
    </rPh>
    <phoneticPr fontId="28"/>
  </si>
  <si>
    <t>SLA　８２６1０-C-200</t>
    <phoneticPr fontId="28"/>
  </si>
  <si>
    <t>１１０ⅢS露出本体(煙感）</t>
    <rPh sb="5" eb="7">
      <t>ロシュツ</t>
    </rPh>
    <rPh sb="7" eb="9">
      <t>ホンタイ</t>
    </rPh>
    <rPh sb="10" eb="11">
      <t>ケムリ</t>
    </rPh>
    <rPh sb="11" eb="12">
      <t>カン</t>
    </rPh>
    <phoneticPr fontId="28"/>
  </si>
  <si>
    <t>SLA　８５２０９－G</t>
    <phoneticPr fontId="28"/>
  </si>
  <si>
    <t>SLB　８６１０４</t>
    <phoneticPr fontId="28"/>
  </si>
  <si>
    <t>SLA　８２６２０-C-200</t>
    <phoneticPr fontId="28"/>
  </si>
  <si>
    <t>１１０ⅢS埋込本体(煙感）</t>
    <rPh sb="5" eb="7">
      <t>ウメコミ</t>
    </rPh>
    <rPh sb="7" eb="9">
      <t>ホンタイ</t>
    </rPh>
    <rPh sb="10" eb="11">
      <t>ケムリ</t>
    </rPh>
    <rPh sb="11" eb="12">
      <t>カン</t>
    </rPh>
    <phoneticPr fontId="28"/>
  </si>
  <si>
    <t>SLA　８１５２１-D</t>
    <phoneticPr fontId="28"/>
  </si>
  <si>
    <t>８０Ⅵ埋込ボックス</t>
    <rPh sb="3" eb="5">
      <t>ウメコミ</t>
    </rPh>
    <phoneticPr fontId="28"/>
  </si>
  <si>
    <t>SLA　８６１０４－A</t>
    <phoneticPr fontId="28"/>
  </si>
  <si>
    <t>SLA　８１５２１-A</t>
    <phoneticPr fontId="28"/>
  </si>
  <si>
    <t>ハンドルボックス８０Ⅵ</t>
    <phoneticPr fontId="28"/>
  </si>
  <si>
    <t>GS　３５０２１－１８</t>
    <phoneticPr fontId="28"/>
  </si>
  <si>
    <t>ガスステイ</t>
    <phoneticPr fontId="28"/>
  </si>
  <si>
    <t>SLA　５０００２－００３</t>
    <phoneticPr fontId="28"/>
  </si>
  <si>
    <t>ナットスペシャル</t>
    <phoneticPr fontId="28"/>
  </si>
  <si>
    <t>SLA　８０５０５－A　O</t>
    <phoneticPr fontId="28"/>
  </si>
  <si>
    <t>丸ステイ</t>
    <rPh sb="0" eb="1">
      <t>マル</t>
    </rPh>
    <phoneticPr fontId="28"/>
  </si>
  <si>
    <t>　K　８３００１０-TS</t>
    <phoneticPr fontId="28"/>
  </si>
  <si>
    <t>ボルトナットセット</t>
    <phoneticPr fontId="28"/>
  </si>
  <si>
    <t>SL　　５２H　０１</t>
    <phoneticPr fontId="28"/>
  </si>
  <si>
    <t>ハンドルボックス５０用</t>
    <rPh sb="10" eb="11">
      <t>ヨウ</t>
    </rPh>
    <phoneticPr fontId="28"/>
  </si>
  <si>
    <t>SLA　８０５０５－B　O</t>
    <phoneticPr fontId="28"/>
  </si>
  <si>
    <t>　K　８００３０-TA</t>
    <phoneticPr fontId="28"/>
  </si>
  <si>
    <t>押し釦SET</t>
    <rPh sb="0" eb="1">
      <t>オ</t>
    </rPh>
    <rPh sb="2" eb="3">
      <t>ボタン</t>
    </rPh>
    <phoneticPr fontId="28"/>
  </si>
  <si>
    <t>SLA　５１H　０９</t>
    <phoneticPr fontId="28"/>
  </si>
  <si>
    <t>テンションステイ</t>
    <phoneticPr fontId="28"/>
  </si>
  <si>
    <t>SLA　８０５０５－C　O</t>
    <phoneticPr fontId="28"/>
  </si>
  <si>
    <t>KA８８－１３００</t>
    <phoneticPr fontId="28"/>
  </si>
  <si>
    <t>中間キャップ.</t>
    <rPh sb="0" eb="2">
      <t>チュウカン</t>
    </rPh>
    <phoneticPr fontId="28"/>
  </si>
  <si>
    <t>SLA　５１H　１４－A</t>
    <phoneticPr fontId="28"/>
  </si>
  <si>
    <t>転向滑車　A</t>
    <rPh sb="0" eb="4">
      <t>テンコウカッシャ</t>
    </rPh>
    <phoneticPr fontId="28"/>
  </si>
  <si>
    <t>SLA　８０５０５－F　O</t>
    <phoneticPr fontId="28"/>
  </si>
  <si>
    <t>ケーシングブラケットL型</t>
    <rPh sb="11" eb="12">
      <t>ガタ</t>
    </rPh>
    <phoneticPr fontId="28"/>
  </si>
  <si>
    <t>SLA　５１H　１４－B</t>
    <phoneticPr fontId="28"/>
  </si>
  <si>
    <t>転向滑車　B</t>
    <rPh sb="0" eb="4">
      <t>テンコウカッシャ</t>
    </rPh>
    <phoneticPr fontId="28"/>
  </si>
  <si>
    <t>SLA　８０３０９</t>
    <phoneticPr fontId="28"/>
  </si>
  <si>
    <t>ビスセット</t>
    <phoneticPr fontId="28"/>
  </si>
  <si>
    <t>GS　６４４５５－K１</t>
  </si>
  <si>
    <t>SLA　５１H　０５</t>
    <phoneticPr fontId="28"/>
  </si>
  <si>
    <t>ロープ振れ止め金具</t>
    <rPh sb="3" eb="4">
      <t>フ</t>
    </rPh>
    <rPh sb="5" eb="6">
      <t>ド</t>
    </rPh>
    <rPh sb="7" eb="9">
      <t>カナグ</t>
    </rPh>
    <phoneticPr fontId="28"/>
  </si>
  <si>
    <t>SLA　８２０４１－A</t>
    <phoneticPr fontId="28"/>
  </si>
  <si>
    <t>ケーシングキャップ</t>
    <phoneticPr fontId="28"/>
  </si>
  <si>
    <t>GS　８０６０５－DO</t>
    <phoneticPr fontId="28"/>
  </si>
  <si>
    <t>SLA　５１H　０６</t>
  </si>
  <si>
    <t>シンブル</t>
    <phoneticPr fontId="28"/>
  </si>
  <si>
    <t>SLA　５０５　R/L</t>
    <phoneticPr fontId="28"/>
  </si>
  <si>
    <t>障子側ステイブラケット</t>
    <rPh sb="0" eb="3">
      <t>ショウジガワ</t>
    </rPh>
    <phoneticPr fontId="28"/>
  </si>
  <si>
    <t>GS　８０６０５－EO</t>
    <phoneticPr fontId="28"/>
  </si>
  <si>
    <t>E/S　０５０－００１</t>
    <phoneticPr fontId="28"/>
  </si>
  <si>
    <t>ワイヤ－ストッパ－</t>
    <phoneticPr fontId="28"/>
  </si>
  <si>
    <t>SLA　４４１</t>
    <phoneticPr fontId="28"/>
  </si>
  <si>
    <t>枠側ステイブラケット</t>
    <rPh sb="0" eb="1">
      <t>ワク</t>
    </rPh>
    <rPh sb="1" eb="2">
      <t>ガワ</t>
    </rPh>
    <phoneticPr fontId="28"/>
  </si>
  <si>
    <t>KA０８－３５３２</t>
    <phoneticPr fontId="28"/>
  </si>
  <si>
    <t>ケーシングブラケット</t>
    <phoneticPr fontId="28"/>
  </si>
  <si>
    <t>E/S　０５０－００３</t>
    <phoneticPr fontId="28"/>
  </si>
  <si>
    <t>転向滑車　１００</t>
    <rPh sb="0" eb="4">
      <t>テンコウカッシャ</t>
    </rPh>
    <phoneticPr fontId="28"/>
  </si>
  <si>
    <t>KA８８－７３０</t>
    <phoneticPr fontId="28"/>
  </si>
  <si>
    <t>KA０８－３５６１－R/L</t>
    <phoneticPr fontId="28"/>
  </si>
  <si>
    <t>E/S　０５０－００４</t>
  </si>
  <si>
    <t>SLS　８４１４１－１００T</t>
    <phoneticPr fontId="28"/>
  </si>
  <si>
    <t>KA０８－３３１６</t>
    <phoneticPr fontId="28"/>
  </si>
  <si>
    <t>スぺ－サ－</t>
    <phoneticPr fontId="28"/>
  </si>
  <si>
    <t>E/S　０５０－００５</t>
  </si>
  <si>
    <t>ワイヤ－クリップ</t>
    <phoneticPr fontId="28"/>
  </si>
  <si>
    <t>SLA　８３１１０-A　R/L</t>
    <phoneticPr fontId="28"/>
  </si>
  <si>
    <t>ボールチェーンボックス</t>
    <phoneticPr fontId="28"/>
  </si>
  <si>
    <r>
      <t>３</t>
    </r>
    <r>
      <rPr>
        <sz val="9"/>
        <rFont val="Yu Gothic"/>
        <family val="3"/>
        <charset val="128"/>
      </rPr>
      <t>Φワイヤーロープ</t>
    </r>
    <phoneticPr fontId="28"/>
  </si>
  <si>
    <t>SLA　８３１１０-１５</t>
    <phoneticPr fontId="28"/>
  </si>
  <si>
    <t>ボールチェーン</t>
    <phoneticPr fontId="28"/>
  </si>
  <si>
    <t>SLA　３０１０８－C</t>
    <phoneticPr fontId="28"/>
  </si>
  <si>
    <t>クランプ　C</t>
    <phoneticPr fontId="28"/>
  </si>
  <si>
    <t>SLA30201</t>
    <phoneticPr fontId="1"/>
  </si>
  <si>
    <t>SLA30045</t>
    <phoneticPr fontId="1"/>
  </si>
  <si>
    <t>SLA30301-10-SB</t>
    <phoneticPr fontId="1"/>
  </si>
  <si>
    <t>SLS30201</t>
    <phoneticPr fontId="1"/>
  </si>
  <si>
    <t>SLA30220-A-200</t>
    <phoneticPr fontId="1"/>
  </si>
  <si>
    <t>SLA30420-A-100</t>
    <phoneticPr fontId="1"/>
  </si>
  <si>
    <t>SLA30120-B-100</t>
    <phoneticPr fontId="1"/>
  </si>
  <si>
    <t>SLA25202-A</t>
    <phoneticPr fontId="1"/>
  </si>
  <si>
    <t>SLA25202-C</t>
    <phoneticPr fontId="1"/>
  </si>
  <si>
    <t>SLS25202-A</t>
    <phoneticPr fontId="1"/>
  </si>
  <si>
    <t>SLS25202-C</t>
    <phoneticPr fontId="1"/>
  </si>
  <si>
    <t>SLA30102</t>
    <phoneticPr fontId="1"/>
  </si>
  <si>
    <t>SLA30202</t>
    <phoneticPr fontId="1"/>
  </si>
  <si>
    <t>SLA30050-A</t>
    <phoneticPr fontId="1"/>
  </si>
  <si>
    <t>SLA30050-B</t>
    <phoneticPr fontId="1"/>
  </si>
  <si>
    <t>SLS30050-A</t>
    <phoneticPr fontId="1"/>
  </si>
  <si>
    <t>SLS30050-B</t>
    <phoneticPr fontId="1"/>
  </si>
  <si>
    <t>SLA30107-B</t>
    <phoneticPr fontId="1"/>
  </si>
  <si>
    <t>SLA30107-C</t>
    <phoneticPr fontId="1"/>
  </si>
  <si>
    <t>SLA50301-A</t>
    <phoneticPr fontId="1"/>
  </si>
  <si>
    <t>SLA50301-B</t>
    <phoneticPr fontId="1"/>
  </si>
  <si>
    <t>SLA55104-A</t>
    <phoneticPr fontId="1"/>
  </si>
  <si>
    <t>SLA55104-B　　</t>
    <phoneticPr fontId="1"/>
  </si>
  <si>
    <t>SLA5０００２</t>
    <phoneticPr fontId="1"/>
  </si>
  <si>
    <t>SLA30104-10M</t>
    <phoneticPr fontId="1"/>
  </si>
  <si>
    <t>SLA30104-16M</t>
    <phoneticPr fontId="1"/>
  </si>
  <si>
    <t>SLA30104-24M</t>
    <phoneticPr fontId="1"/>
  </si>
  <si>
    <t>SLA30104-50M</t>
    <phoneticPr fontId="1"/>
  </si>
  <si>
    <t>SLS30004-10M</t>
    <phoneticPr fontId="1"/>
  </si>
  <si>
    <t>SLS30004-24M</t>
    <phoneticPr fontId="1"/>
  </si>
  <si>
    <t>SLS30004-50M</t>
    <phoneticPr fontId="1"/>
  </si>
  <si>
    <t>SLA30122-10</t>
    <phoneticPr fontId="1"/>
  </si>
  <si>
    <t>SLA30122-25</t>
    <phoneticPr fontId="1"/>
  </si>
  <si>
    <t>SLA30222</t>
    <phoneticPr fontId="1"/>
  </si>
  <si>
    <t>SLA30222-SUB</t>
    <phoneticPr fontId="1"/>
  </si>
  <si>
    <t>SLA５０００２－００３</t>
    <phoneticPr fontId="1"/>
  </si>
  <si>
    <t>SLA30003-1</t>
    <phoneticPr fontId="1"/>
  </si>
  <si>
    <t>SLA30003-2</t>
    <phoneticPr fontId="1"/>
  </si>
  <si>
    <t>SLA30105</t>
    <phoneticPr fontId="1"/>
  </si>
  <si>
    <t>SLA30108</t>
    <phoneticPr fontId="1"/>
  </si>
  <si>
    <t>SLA50108</t>
    <phoneticPr fontId="1"/>
  </si>
  <si>
    <t>SLA30108-C</t>
    <phoneticPr fontId="1"/>
  </si>
  <si>
    <t>SLA55106</t>
    <phoneticPr fontId="1"/>
  </si>
  <si>
    <t>SLA55202</t>
    <phoneticPr fontId="1"/>
  </si>
  <si>
    <t>SLA30250-A</t>
    <phoneticPr fontId="1"/>
  </si>
  <si>
    <t>SLA20150-A</t>
    <phoneticPr fontId="1"/>
  </si>
  <si>
    <t>SLA45050-S</t>
    <phoneticPr fontId="1"/>
  </si>
  <si>
    <t>SLA45050-W</t>
    <phoneticPr fontId="1"/>
  </si>
  <si>
    <t>SLA55107</t>
    <phoneticPr fontId="1"/>
  </si>
  <si>
    <t>SLA30201-52</t>
    <phoneticPr fontId="1"/>
  </si>
  <si>
    <t>SLA50003-2</t>
    <phoneticPr fontId="1"/>
  </si>
  <si>
    <t>SLA82620-A-200</t>
    <phoneticPr fontId="1"/>
  </si>
  <si>
    <t>SLA82620-A-100</t>
    <phoneticPr fontId="1"/>
  </si>
  <si>
    <t>SLA80620-A-200</t>
    <phoneticPr fontId="1"/>
  </si>
  <si>
    <t>SLA82620-B-100</t>
    <phoneticPr fontId="1"/>
  </si>
  <si>
    <t>SLA80620-A-100</t>
    <phoneticPr fontId="1"/>
  </si>
  <si>
    <t>SLA80620-C-100</t>
    <phoneticPr fontId="1"/>
  </si>
  <si>
    <t>SLA81511-A</t>
    <phoneticPr fontId="1"/>
  </si>
  <si>
    <t>SLA81410-A-200</t>
    <phoneticPr fontId="1"/>
  </si>
  <si>
    <t>SLA81150-A</t>
    <phoneticPr fontId="1"/>
  </si>
  <si>
    <t>SLA85403C</t>
    <phoneticPr fontId="1"/>
  </si>
  <si>
    <t>SLB85603C</t>
    <phoneticPr fontId="1"/>
  </si>
  <si>
    <t>SLA85403D</t>
    <phoneticPr fontId="1"/>
  </si>
  <si>
    <t>SLB85603D</t>
    <phoneticPr fontId="1"/>
  </si>
  <si>
    <t>SLA85304</t>
    <phoneticPr fontId="1"/>
  </si>
  <si>
    <t>SLB85504</t>
    <phoneticPr fontId="1"/>
  </si>
  <si>
    <t>SLA86104</t>
    <phoneticPr fontId="1"/>
  </si>
  <si>
    <t>SLB86104</t>
    <phoneticPr fontId="1"/>
  </si>
  <si>
    <t>SLA80505-AO</t>
    <phoneticPr fontId="1"/>
  </si>
  <si>
    <t>SLA80505-BO</t>
    <phoneticPr fontId="1"/>
  </si>
  <si>
    <t>SLA80505-CO</t>
    <phoneticPr fontId="1"/>
  </si>
  <si>
    <t>SLA80505-DO</t>
    <phoneticPr fontId="1"/>
  </si>
  <si>
    <t>SLA80505-EO</t>
    <phoneticPr fontId="1"/>
  </si>
  <si>
    <t>SLA80505-FO</t>
    <phoneticPr fontId="1"/>
  </si>
  <si>
    <t>SLA80309</t>
    <phoneticPr fontId="1"/>
  </si>
  <si>
    <t>SLA82131-10M</t>
    <phoneticPr fontId="1"/>
  </si>
  <si>
    <t>SLA82131-50M</t>
    <phoneticPr fontId="1"/>
  </si>
  <si>
    <t>SLA82131-25M</t>
    <phoneticPr fontId="1"/>
  </si>
  <si>
    <t>SLA82041A</t>
    <phoneticPr fontId="1"/>
  </si>
  <si>
    <t>SLA82042</t>
    <phoneticPr fontId="1"/>
  </si>
  <si>
    <t>SL52H01</t>
    <phoneticPr fontId="1"/>
  </si>
  <si>
    <t>SL51H09</t>
    <phoneticPr fontId="1"/>
  </si>
  <si>
    <t>SL51H14-A</t>
    <phoneticPr fontId="1"/>
  </si>
  <si>
    <t>SL51H14-B</t>
    <phoneticPr fontId="1"/>
  </si>
  <si>
    <t>SL51H05</t>
    <phoneticPr fontId="1"/>
  </si>
  <si>
    <t>SLA50002-003</t>
    <phoneticPr fontId="1"/>
  </si>
  <si>
    <t>SLA81150-A</t>
    <phoneticPr fontId="1"/>
  </si>
  <si>
    <t>SLA80505-MAO</t>
    <phoneticPr fontId="1"/>
  </si>
  <si>
    <t>SLA80505-MBO</t>
    <phoneticPr fontId="1"/>
  </si>
  <si>
    <t>SLA80505-MCO</t>
    <phoneticPr fontId="1"/>
  </si>
  <si>
    <t>SLS81130-10M</t>
    <phoneticPr fontId="1"/>
  </si>
  <si>
    <t>SLS81130-14M</t>
    <phoneticPr fontId="1"/>
  </si>
  <si>
    <t>SLS81130-18M</t>
    <phoneticPr fontId="1"/>
  </si>
  <si>
    <t>SLS81130-26M</t>
    <phoneticPr fontId="1"/>
  </si>
  <si>
    <t>SLS81130-50M</t>
    <phoneticPr fontId="1"/>
  </si>
  <si>
    <t>SLA　８１５１１－A　　</t>
    <phoneticPr fontId="1"/>
  </si>
  <si>
    <t>SLA　８１１５０－A</t>
    <phoneticPr fontId="1"/>
  </si>
  <si>
    <t>SLA　８５４０３C</t>
    <phoneticPr fontId="1"/>
  </si>
  <si>
    <t>SLB　８５６０３C</t>
    <phoneticPr fontId="1"/>
  </si>
  <si>
    <t>SLA　８５４０３D</t>
    <phoneticPr fontId="1"/>
  </si>
  <si>
    <t>SLB　８５６０３D</t>
    <phoneticPr fontId="1"/>
  </si>
  <si>
    <t>SLB　８５５０４</t>
    <phoneticPr fontId="1"/>
  </si>
  <si>
    <t>SLB　８６１０４</t>
    <phoneticPr fontId="1"/>
  </si>
  <si>
    <t>【別途・その他】</t>
    <rPh sb="1" eb="3">
      <t>ベット</t>
    </rPh>
    <rPh sb="6" eb="7">
      <t>タ</t>
    </rPh>
    <phoneticPr fontId="1"/>
  </si>
  <si>
    <t>・サッシ工事（切り欠き・裏板・穴加工等）は別途貴社工事区分と致します。</t>
    <rPh sb="4" eb="6">
      <t>コウジ</t>
    </rPh>
    <rPh sb="7" eb="8">
      <t>キ</t>
    </rPh>
    <rPh sb="9" eb="10">
      <t>カ</t>
    </rPh>
    <rPh sb="12" eb="14">
      <t>ウライタ</t>
    </rPh>
    <rPh sb="15" eb="18">
      <t>アナカコウ</t>
    </rPh>
    <rPh sb="18" eb="19">
      <t>トウ</t>
    </rPh>
    <rPh sb="21" eb="23">
      <t>ベット</t>
    </rPh>
    <rPh sb="23" eb="25">
      <t>キシャ</t>
    </rPh>
    <rPh sb="25" eb="27">
      <t>コウジ</t>
    </rPh>
    <rPh sb="27" eb="29">
      <t>クブン</t>
    </rPh>
    <rPh sb="30" eb="31">
      <t>イタ</t>
    </rPh>
    <phoneticPr fontId="1"/>
  </si>
  <si>
    <t>・操作ボックス埋込用の電管・箱抜き・ハツリ等は材工共全て別途と致します。</t>
    <rPh sb="1" eb="3">
      <t>ソウサ</t>
    </rPh>
    <rPh sb="7" eb="9">
      <t>ウメコミ</t>
    </rPh>
    <rPh sb="9" eb="10">
      <t>ヨウ</t>
    </rPh>
    <rPh sb="11" eb="13">
      <t>デンカン</t>
    </rPh>
    <rPh sb="14" eb="15">
      <t>ハコ</t>
    </rPh>
    <rPh sb="15" eb="16">
      <t>ヌ</t>
    </rPh>
    <rPh sb="21" eb="22">
      <t>トウ</t>
    </rPh>
    <rPh sb="23" eb="25">
      <t>ザイコウ</t>
    </rPh>
    <rPh sb="25" eb="26">
      <t>トモ</t>
    </rPh>
    <rPh sb="26" eb="27">
      <t>スベ</t>
    </rPh>
    <rPh sb="28" eb="30">
      <t>ベット</t>
    </rPh>
    <rPh sb="31" eb="32">
      <t>イタ</t>
    </rPh>
    <phoneticPr fontId="1"/>
  </si>
  <si>
    <t>・養生・クリーニングは弊社別途工事と致します。</t>
    <rPh sb="1" eb="3">
      <t>ヨウジョウ</t>
    </rPh>
    <rPh sb="11" eb="13">
      <t>ヘイシャ</t>
    </rPh>
    <rPh sb="13" eb="15">
      <t>ベット</t>
    </rPh>
    <rPh sb="15" eb="17">
      <t>コウジ</t>
    </rPh>
    <rPh sb="18" eb="19">
      <t>イタ</t>
    </rPh>
    <phoneticPr fontId="1"/>
  </si>
  <si>
    <t>・荷揚げ機器、足場設置等は別途と致します。</t>
    <rPh sb="1" eb="3">
      <t>ニア</t>
    </rPh>
    <rPh sb="4" eb="6">
      <t>キキ</t>
    </rPh>
    <rPh sb="7" eb="9">
      <t>アシバ</t>
    </rPh>
    <rPh sb="9" eb="11">
      <t>セッチ</t>
    </rPh>
    <rPh sb="11" eb="12">
      <t>トウ</t>
    </rPh>
    <rPh sb="13" eb="15">
      <t>ベット</t>
    </rPh>
    <rPh sb="16" eb="17">
      <t>イタ</t>
    </rPh>
    <phoneticPr fontId="1"/>
  </si>
  <si>
    <t>・数量及び仕様変更の場合は別途再見積もりと致します。</t>
    <rPh sb="1" eb="3">
      <t>スウリョウ</t>
    </rPh>
    <rPh sb="3" eb="4">
      <t>オヨ</t>
    </rPh>
    <rPh sb="5" eb="9">
      <t>シヨウヘンコウ</t>
    </rPh>
    <rPh sb="10" eb="12">
      <t>バアイ</t>
    </rPh>
    <rPh sb="13" eb="15">
      <t>ベット</t>
    </rPh>
    <rPh sb="15" eb="18">
      <t>サイミツ</t>
    </rPh>
    <rPh sb="21" eb="22">
      <t>イタ</t>
    </rPh>
    <phoneticPr fontId="1"/>
  </si>
  <si>
    <t>操作ボックス仕様：</t>
    <rPh sb="0" eb="2">
      <t>ソウサ</t>
    </rPh>
    <rPh sb="6" eb="8">
      <t>シヨウ</t>
    </rPh>
    <phoneticPr fontId="1"/>
  </si>
  <si>
    <t>窓廻り仕様：</t>
    <rPh sb="0" eb="2">
      <t>マドマワ</t>
    </rPh>
    <rPh sb="3" eb="5">
      <t>シヨウ</t>
    </rPh>
    <phoneticPr fontId="1"/>
  </si>
  <si>
    <t>適用サッシ：【】制定図にて積算　　※工場手配部品は貴社手配区分</t>
    <rPh sb="0" eb="2">
      <t>テキヨウ</t>
    </rPh>
    <rPh sb="8" eb="11">
      <t>セイテイズ</t>
    </rPh>
    <rPh sb="13" eb="15">
      <t>セキサン</t>
    </rPh>
    <rPh sb="18" eb="24">
      <t>コウジョウテハイブヒン</t>
    </rPh>
    <rPh sb="25" eb="27">
      <t>キシャ</t>
    </rPh>
    <rPh sb="27" eb="31">
      <t>テハイクブン</t>
    </rPh>
    <phoneticPr fontId="1"/>
  </si>
  <si>
    <t>KA０８ー３３１３</t>
  </si>
  <si>
    <t>枠滑車取付台座</t>
    <rPh sb="0" eb="1">
      <t>ワク</t>
    </rPh>
    <rPh sb="1" eb="3">
      <t>カッシャ</t>
    </rPh>
    <rPh sb="3" eb="5">
      <t>トリツケ</t>
    </rPh>
    <rPh sb="5" eb="7">
      <t>ダイザ</t>
    </rPh>
    <phoneticPr fontId="28"/>
  </si>
  <si>
    <t>SLA　８０１０６－A</t>
  </si>
  <si>
    <t>ステイ用ブラケッN11+AM2:AR89</t>
    <rPh sb="0" eb="2">
      <t>ヘイセイ</t>
    </rPh>
    <rPh sb="6" eb="7">
      <t>ネンヒ</t>
    </rPh>
    <phoneticPr fontId="28"/>
  </si>
  <si>
    <t>KA０８ー１４１１</t>
    <phoneticPr fontId="28"/>
  </si>
  <si>
    <t>枠滑車取付金具</t>
    <rPh sb="0" eb="1">
      <t>ワク</t>
    </rPh>
    <rPh sb="1" eb="3">
      <t>カッシャ</t>
    </rPh>
    <rPh sb="3" eb="5">
      <t>トリツケ</t>
    </rPh>
    <rPh sb="5" eb="7">
      <t>カナグ</t>
    </rPh>
    <phoneticPr fontId="28"/>
  </si>
  <si>
    <t>KA０８ー３３０６</t>
  </si>
  <si>
    <t>スペーサー</t>
    <phoneticPr fontId="28"/>
  </si>
  <si>
    <t>ステイ用ブラケット枠</t>
    <rPh sb="3" eb="4">
      <t>ヨウ</t>
    </rPh>
    <rPh sb="9" eb="10">
      <t>ワク</t>
    </rPh>
    <phoneticPr fontId="28"/>
  </si>
  <si>
    <t>KA０８ー１１２１</t>
    <phoneticPr fontId="28"/>
  </si>
  <si>
    <t>内倒しブラケット</t>
    <rPh sb="0" eb="1">
      <t>ウチ</t>
    </rPh>
    <rPh sb="1" eb="2">
      <t>タオ</t>
    </rPh>
    <phoneticPr fontId="28"/>
  </si>
  <si>
    <t>（　内　示　注　文　書　）</t>
    <rPh sb="2" eb="3">
      <t>ナイ</t>
    </rPh>
    <rPh sb="4" eb="5">
      <t>シメス</t>
    </rPh>
    <rPh sb="6" eb="7">
      <t>チュウ</t>
    </rPh>
    <rPh sb="8" eb="9">
      <t>ブン</t>
    </rPh>
    <rPh sb="10" eb="11">
      <t>ショ</t>
    </rPh>
    <phoneticPr fontId="28"/>
  </si>
  <si>
    <t>KA０８－００２R(L）</t>
  </si>
  <si>
    <t>FA０８－０１１－A</t>
  </si>
  <si>
    <t>特 注 品 見 積 依 頼 兼 回 答 書</t>
    <rPh sb="0" eb="1">
      <t>トク</t>
    </rPh>
    <rPh sb="2" eb="3">
      <t>チュウ</t>
    </rPh>
    <rPh sb="4" eb="5">
      <t>ヒン</t>
    </rPh>
    <rPh sb="6" eb="7">
      <t>ミ</t>
    </rPh>
    <rPh sb="8" eb="9">
      <t>セキ</t>
    </rPh>
    <rPh sb="10" eb="11">
      <t>ヤスシ</t>
    </rPh>
    <rPh sb="12" eb="13">
      <t>ヨリ</t>
    </rPh>
    <rPh sb="14" eb="15">
      <t>ケン</t>
    </rPh>
    <rPh sb="16" eb="17">
      <t>カイ</t>
    </rPh>
    <rPh sb="18" eb="19">
      <t>コタエ</t>
    </rPh>
    <rPh sb="20" eb="21">
      <t>ショ</t>
    </rPh>
    <phoneticPr fontId="28"/>
  </si>
  <si>
    <t>KA０８－５０２R(L）</t>
  </si>
  <si>
    <t>ステイ用ブラケット障子</t>
    <rPh sb="3" eb="4">
      <t>ヨウ</t>
    </rPh>
    <rPh sb="9" eb="11">
      <t>ショウジ</t>
    </rPh>
    <phoneticPr fontId="28"/>
  </si>
  <si>
    <t>SLA　１００６１－FE</t>
  </si>
  <si>
    <t>内倒しステイBRT　枠</t>
    <rPh sb="0" eb="1">
      <t>ウチ</t>
    </rPh>
    <rPh sb="1" eb="2">
      <t>タオ</t>
    </rPh>
    <rPh sb="10" eb="11">
      <t>ワク</t>
    </rPh>
    <phoneticPr fontId="28"/>
  </si>
  <si>
    <t>KA０８－１２３（１２２）</t>
  </si>
  <si>
    <t>内倒しステイBRT　障子</t>
    <rPh sb="0" eb="1">
      <t>ウチ</t>
    </rPh>
    <rPh sb="1" eb="2">
      <t>タオ</t>
    </rPh>
    <rPh sb="10" eb="12">
      <t>ショウジ</t>
    </rPh>
    <phoneticPr fontId="28"/>
  </si>
  <si>
    <t>KA０８－１１１０</t>
    <phoneticPr fontId="28"/>
  </si>
  <si>
    <t>発　行　日</t>
    <rPh sb="0" eb="1">
      <t>ハツ</t>
    </rPh>
    <rPh sb="2" eb="3">
      <t>ギョウ</t>
    </rPh>
    <rPh sb="4" eb="5">
      <t>ヒ</t>
    </rPh>
    <phoneticPr fontId="28"/>
  </si>
  <si>
    <t>　　　アイメイ株式会社　　御中</t>
    <rPh sb="7" eb="11">
      <t>カブシキガイシャ</t>
    </rPh>
    <rPh sb="13" eb="15">
      <t>オンチュウ</t>
    </rPh>
    <phoneticPr fontId="28"/>
  </si>
  <si>
    <t>KA０８ー１２６ R(L）</t>
  </si>
  <si>
    <t>KA０８－４１０２ R(L）</t>
  </si>
  <si>
    <t>突き出しステイBRT障子</t>
    <rPh sb="0" eb="1">
      <t>ツ</t>
    </rPh>
    <rPh sb="2" eb="3">
      <t>ダ</t>
    </rPh>
    <rPh sb="10" eb="12">
      <t>ショウジ</t>
    </rPh>
    <phoneticPr fontId="28"/>
  </si>
  <si>
    <t>KA０８ー１４０４</t>
    <phoneticPr fontId="28"/>
  </si>
  <si>
    <t>KA０８ー５０５ R(L）</t>
  </si>
  <si>
    <t>KA０８－F２５　（１５）</t>
  </si>
  <si>
    <t>突き出しステイBRT枠</t>
    <rPh sb="0" eb="1">
      <t>ツ</t>
    </rPh>
    <rPh sb="2" eb="3">
      <t>ダ</t>
    </rPh>
    <rPh sb="10" eb="11">
      <t>ワク</t>
    </rPh>
    <phoneticPr fontId="28"/>
  </si>
  <si>
    <t xml:space="preserve">　中部システム工業 株式会社 </t>
    <rPh sb="1" eb="3">
      <t>チュウブ</t>
    </rPh>
    <rPh sb="7" eb="9">
      <t>コウギョウ</t>
    </rPh>
    <rPh sb="10" eb="14">
      <t>カブシキガイシャ</t>
    </rPh>
    <phoneticPr fontId="28"/>
  </si>
  <si>
    <t>KA０８ー３４０１</t>
  </si>
  <si>
    <t>突き出し障子滑車BRT</t>
    <rPh sb="0" eb="1">
      <t>ツ</t>
    </rPh>
    <rPh sb="2" eb="3">
      <t>ダ</t>
    </rPh>
    <rPh sb="4" eb="6">
      <t>ショウジ</t>
    </rPh>
    <rPh sb="6" eb="8">
      <t>カッシャ</t>
    </rPh>
    <phoneticPr fontId="28"/>
  </si>
  <si>
    <t>KA０８－FK－２５</t>
  </si>
  <si>
    <t>突き出し障子滑車プレート</t>
    <rPh sb="0" eb="1">
      <t>ツ</t>
    </rPh>
    <rPh sb="2" eb="3">
      <t>ダ</t>
    </rPh>
    <rPh sb="4" eb="6">
      <t>ショウジ</t>
    </rPh>
    <rPh sb="6" eb="8">
      <t>カッシャ</t>
    </rPh>
    <phoneticPr fontId="28"/>
  </si>
  <si>
    <t>　〒 ４５4－０９８１</t>
    <phoneticPr fontId="28"/>
  </si>
  <si>
    <t>D滑車用ケーシングBRT</t>
    <rPh sb="1" eb="3">
      <t>カッシャ</t>
    </rPh>
    <rPh sb="3" eb="4">
      <t>ヨウ</t>
    </rPh>
    <phoneticPr fontId="28"/>
  </si>
  <si>
    <t>SK３５－A</t>
  </si>
  <si>
    <t>突き出し滑車用スペーサー</t>
    <rPh sb="0" eb="1">
      <t>ツ</t>
    </rPh>
    <rPh sb="2" eb="3">
      <t>ダ</t>
    </rPh>
    <rPh sb="4" eb="6">
      <t>カッシャ</t>
    </rPh>
    <rPh sb="6" eb="7">
      <t>ヨウ</t>
    </rPh>
    <phoneticPr fontId="28"/>
  </si>
  <si>
    <t>見積依頼 NO</t>
    <rPh sb="0" eb="2">
      <t>ミツモ</t>
    </rPh>
    <rPh sb="2" eb="4">
      <t>イライ</t>
    </rPh>
    <phoneticPr fontId="28"/>
  </si>
  <si>
    <t>回答（納期）　日</t>
    <rPh sb="0" eb="2">
      <t>カイトウ</t>
    </rPh>
    <rPh sb="3" eb="5">
      <t>ノウキ</t>
    </rPh>
    <rPh sb="7" eb="8">
      <t>ヒ</t>
    </rPh>
    <phoneticPr fontId="28"/>
  </si>
  <si>
    <t>　名古屋市中川区吉津１丁目２１０９番地</t>
    <rPh sb="1" eb="5">
      <t>ナゴヤシ</t>
    </rPh>
    <rPh sb="5" eb="8">
      <t>ナカガワク</t>
    </rPh>
    <rPh sb="8" eb="9">
      <t>ヨシ</t>
    </rPh>
    <rPh sb="9" eb="10">
      <t>ツ</t>
    </rPh>
    <rPh sb="11" eb="13">
      <t>チョウメ</t>
    </rPh>
    <rPh sb="17" eb="19">
      <t>バンチ</t>
    </rPh>
    <phoneticPr fontId="28"/>
  </si>
  <si>
    <t>KA８８ー２２６ R(L）</t>
  </si>
  <si>
    <t>KA０８－F ２２</t>
  </si>
  <si>
    <t>月</t>
    <rPh sb="0" eb="1">
      <t>ツキ</t>
    </rPh>
    <phoneticPr fontId="28"/>
  </si>
  <si>
    <t>日</t>
    <rPh sb="0" eb="1">
      <t>ヒ</t>
    </rPh>
    <phoneticPr fontId="28"/>
  </si>
  <si>
    <t>　アクティブ 名古屋西アントレ　E 号</t>
    <rPh sb="7" eb="10">
      <t>ナゴヤ</t>
    </rPh>
    <rPh sb="10" eb="11">
      <t>ニシ</t>
    </rPh>
    <rPh sb="18" eb="19">
      <t>ゴウ</t>
    </rPh>
    <phoneticPr fontId="28"/>
  </si>
  <si>
    <t>KA８８ー０４２</t>
  </si>
  <si>
    <t>E/S　０５０－０２０</t>
    <phoneticPr fontId="28"/>
  </si>
  <si>
    <t>ケーブルロッド</t>
    <phoneticPr fontId="28"/>
  </si>
  <si>
    <t>KA０８ー３３１６</t>
    <phoneticPr fontId="28"/>
  </si>
  <si>
    <t>防火</t>
    <rPh sb="0" eb="2">
      <t>ボウカ</t>
    </rPh>
    <phoneticPr fontId="28"/>
  </si>
  <si>
    <t>　TEL　０５２－４１４－４５８０</t>
    <phoneticPr fontId="28"/>
  </si>
  <si>
    <t>KA０８ー７８０１－R/L</t>
    <phoneticPr fontId="28"/>
  </si>
  <si>
    <t>マディオステイBRT　枠</t>
    <rPh sb="11" eb="12">
      <t>ワク</t>
    </rPh>
    <phoneticPr fontId="28"/>
  </si>
  <si>
    <t>ナットスペシャル</t>
  </si>
  <si>
    <t>　FAX　０５２－４１４－４５８１</t>
    <phoneticPr fontId="28"/>
  </si>
  <si>
    <t>KA０８ー７８０２</t>
    <phoneticPr fontId="28"/>
  </si>
  <si>
    <t>マディオステイBRT　障子</t>
    <rPh sb="11" eb="13">
      <t>ショウジ</t>
    </rPh>
    <phoneticPr fontId="28"/>
  </si>
  <si>
    <t>KA　８８－１３００</t>
  </si>
  <si>
    <t>中間キャップ</t>
    <rPh sb="0" eb="2">
      <t>チュウカン</t>
    </rPh>
    <phoneticPr fontId="28"/>
  </si>
  <si>
    <t>工事番号（発注時）</t>
    <rPh sb="0" eb="2">
      <t>コウジ</t>
    </rPh>
    <rPh sb="2" eb="4">
      <t>バンゴウ</t>
    </rPh>
    <rPh sb="5" eb="7">
      <t>ハッチュウ</t>
    </rPh>
    <rPh sb="7" eb="8">
      <t>ジ</t>
    </rPh>
    <phoneticPr fontId="28"/>
  </si>
  <si>
    <t xml:space="preserve">  E-mail  s.morimoto@helen.ocn.ne.jp</t>
    <phoneticPr fontId="28"/>
  </si>
  <si>
    <t>KA　８８－７３０</t>
    <phoneticPr fontId="28"/>
  </si>
  <si>
    <t>内倒し用</t>
    <rPh sb="0" eb="2">
      <t>ウチタオ</t>
    </rPh>
    <rPh sb="3" eb="4">
      <t>ヨウ</t>
    </rPh>
    <phoneticPr fontId="28"/>
  </si>
  <si>
    <t>KA０８－５０５ R(L）</t>
  </si>
  <si>
    <t>　ＫＡ ２５－４０６</t>
  </si>
  <si>
    <t>　内倒ブラケット　</t>
    <rPh sb="1" eb="2">
      <t>ウチ</t>
    </rPh>
    <rPh sb="2" eb="3">
      <t>タオ</t>
    </rPh>
    <phoneticPr fontId="28"/>
  </si>
  <si>
    <t>　ＫＡ ２５－２０１</t>
    <phoneticPr fontId="28"/>
  </si>
  <si>
    <t>　内倒本体ブラケット　</t>
    <rPh sb="1" eb="2">
      <t>ウチ</t>
    </rPh>
    <rPh sb="2" eb="3">
      <t>タオ</t>
    </rPh>
    <rPh sb="3" eb="5">
      <t>ホンタイ</t>
    </rPh>
    <phoneticPr fontId="28"/>
  </si>
  <si>
    <t>品　　　　　番</t>
    <rPh sb="0" eb="1">
      <t>シナ</t>
    </rPh>
    <rPh sb="6" eb="7">
      <t>バン</t>
    </rPh>
    <phoneticPr fontId="28"/>
  </si>
  <si>
    <t>品　　　　　名</t>
    <rPh sb="0" eb="1">
      <t>ヒン</t>
    </rPh>
    <rPh sb="6" eb="7">
      <t>メイ</t>
    </rPh>
    <phoneticPr fontId="28"/>
  </si>
  <si>
    <t>数　量</t>
    <rPh sb="0" eb="1">
      <t>カズ</t>
    </rPh>
    <rPh sb="2" eb="3">
      <t>リョウ</t>
    </rPh>
    <phoneticPr fontId="28"/>
  </si>
  <si>
    <t>備　　　考</t>
    <rPh sb="0" eb="1">
      <t>ソナエ</t>
    </rPh>
    <rPh sb="4" eb="5">
      <t>コウ</t>
    </rPh>
    <phoneticPr fontId="28"/>
  </si>
  <si>
    <t>KA８８－８０２ R(L）</t>
    <phoneticPr fontId="28"/>
  </si>
  <si>
    <t>ステイ用ブラケット障子 外倒し</t>
    <rPh sb="3" eb="4">
      <t>ヨウ</t>
    </rPh>
    <rPh sb="9" eb="11">
      <t>ショウジ</t>
    </rPh>
    <rPh sb="12" eb="14">
      <t>ソトタオ</t>
    </rPh>
    <phoneticPr fontId="28"/>
  </si>
  <si>
    <t>フロンテック</t>
    <phoneticPr fontId="28"/>
  </si>
  <si>
    <t>KA０８－１１０９　ローラー付</t>
    <rPh sb="14" eb="15">
      <t>ツキ</t>
    </rPh>
    <phoneticPr fontId="28"/>
  </si>
  <si>
    <t>　ＫＡ ２５－１０４</t>
    <phoneticPr fontId="28"/>
  </si>
  <si>
    <t>コネクター取付金具</t>
    <rPh sb="5" eb="7">
      <t>トリツケ</t>
    </rPh>
    <rPh sb="7" eb="9">
      <t>カナグ</t>
    </rPh>
    <phoneticPr fontId="28"/>
  </si>
  <si>
    <t>特注品</t>
    <rPh sb="0" eb="2">
      <t>トクチュウ</t>
    </rPh>
    <rPh sb="2" eb="3">
      <t>ヒン</t>
    </rPh>
    <phoneticPr fontId="28"/>
  </si>
  <si>
    <t>KA０８－１４１   R(L）</t>
  </si>
  <si>
    <t>　ＫＡ ２５－００１</t>
  </si>
  <si>
    <t>KA８８－２０８</t>
    <phoneticPr fontId="28"/>
  </si>
  <si>
    <t>ステイ用ブラケット枠　　外倒し</t>
    <rPh sb="3" eb="4">
      <t>ヨウ</t>
    </rPh>
    <rPh sb="9" eb="10">
      <t>ワク</t>
    </rPh>
    <rPh sb="12" eb="14">
      <t>ソトタオ</t>
    </rPh>
    <phoneticPr fontId="28"/>
  </si>
  <si>
    <t>KA０８－５０５   R(L）</t>
  </si>
  <si>
    <t>　ＫＡ ２５－４０６－SP</t>
  </si>
  <si>
    <t>　内倒ブラケット（特注品）</t>
    <rPh sb="1" eb="2">
      <t>ウチ</t>
    </rPh>
    <rPh sb="2" eb="3">
      <t>タオ</t>
    </rPh>
    <rPh sb="9" eb="11">
      <t>トクチュウ</t>
    </rPh>
    <rPh sb="11" eb="12">
      <t>ヒン</t>
    </rPh>
    <phoneticPr fontId="28"/>
  </si>
  <si>
    <t>KA０８－３５６１ R(L）　</t>
    <phoneticPr fontId="28"/>
  </si>
  <si>
    <t>C滑車用ケーシングBRT</t>
    <rPh sb="1" eb="3">
      <t>カッシャ</t>
    </rPh>
    <rPh sb="3" eb="4">
      <t>ヨウ</t>
    </rPh>
    <phoneticPr fontId="28"/>
  </si>
  <si>
    <t>　E / P -７０</t>
    <phoneticPr fontId="28"/>
  </si>
  <si>
    <t>　六角軸　L＝７０</t>
    <rPh sb="1" eb="3">
      <t>ロッカク</t>
    </rPh>
    <rPh sb="3" eb="4">
      <t>ジク</t>
    </rPh>
    <phoneticPr fontId="28"/>
  </si>
  <si>
    <t>スペーサー　BFG用</t>
    <rPh sb="9" eb="10">
      <t>ヨウ</t>
    </rPh>
    <phoneticPr fontId="28"/>
  </si>
  <si>
    <t>KA０８－４１０５ R(L）</t>
  </si>
  <si>
    <t>　E / P -１００</t>
    <phoneticPr fontId="28"/>
  </si>
  <si>
    <t>　六角軸　L＝１００</t>
    <rPh sb="1" eb="3">
      <t>ロッカク</t>
    </rPh>
    <rPh sb="3" eb="4">
      <t>ジク</t>
    </rPh>
    <phoneticPr fontId="28"/>
  </si>
  <si>
    <t>　E / P -５０　特注</t>
    <rPh sb="11" eb="12">
      <t>トク</t>
    </rPh>
    <rPh sb="12" eb="13">
      <t>チュウ</t>
    </rPh>
    <phoneticPr fontId="28"/>
  </si>
  <si>
    <t>　六角軸　L＝５０</t>
    <rPh sb="1" eb="3">
      <t>ロッカク</t>
    </rPh>
    <rPh sb="3" eb="4">
      <t>ジク</t>
    </rPh>
    <phoneticPr fontId="28"/>
  </si>
  <si>
    <t>KA０８－４５０２</t>
    <phoneticPr fontId="28"/>
  </si>
  <si>
    <t>KA８８－２７５</t>
    <phoneticPr fontId="28"/>
  </si>
  <si>
    <t>ステイ用ブラケット</t>
    <rPh sb="3" eb="4">
      <t>ヨウ</t>
    </rPh>
    <phoneticPr fontId="28"/>
  </si>
  <si>
    <t>KA０８－４００１</t>
    <phoneticPr fontId="28"/>
  </si>
  <si>
    <t>障子滑車取付台座</t>
    <rPh sb="0" eb="2">
      <t>ショウジ</t>
    </rPh>
    <rPh sb="2" eb="4">
      <t>カッシャ</t>
    </rPh>
    <rPh sb="4" eb="6">
      <t>トリツケ</t>
    </rPh>
    <rPh sb="6" eb="8">
      <t>ダイザ</t>
    </rPh>
    <phoneticPr fontId="28"/>
  </si>
  <si>
    <t>KA８８－７２８　R(L）</t>
  </si>
  <si>
    <t>ケーシングキャップ取付金具</t>
    <rPh sb="9" eb="11">
      <t>トリツケ</t>
    </rPh>
    <rPh sb="11" eb="13">
      <t>カナグ</t>
    </rPh>
    <phoneticPr fontId="28"/>
  </si>
  <si>
    <t>KA０８－３５７１ R(L）　</t>
    <phoneticPr fontId="28"/>
  </si>
  <si>
    <t>内倒し用ケーシングBRT</t>
    <rPh sb="0" eb="1">
      <t>ウチ</t>
    </rPh>
    <rPh sb="1" eb="2">
      <t>タオ</t>
    </rPh>
    <rPh sb="3" eb="4">
      <t>ヨウ</t>
    </rPh>
    <phoneticPr fontId="28"/>
  </si>
  <si>
    <t>KA　５５－７０５</t>
  </si>
  <si>
    <t>KA８８－７３０</t>
  </si>
  <si>
    <t>ケーシンキャップ取付金具</t>
    <rPh sb="8" eb="10">
      <t>トリツケ</t>
    </rPh>
    <rPh sb="10" eb="12">
      <t>カナグ</t>
    </rPh>
    <phoneticPr fontId="28"/>
  </si>
  <si>
    <t>KA　５５－１０９</t>
  </si>
  <si>
    <t>レールユニット取付金具</t>
    <rPh sb="7" eb="9">
      <t>トリツケ</t>
    </rPh>
    <rPh sb="9" eb="11">
      <t>カナグ</t>
    </rPh>
    <phoneticPr fontId="28"/>
  </si>
  <si>
    <t>EXIMA</t>
    <phoneticPr fontId="28"/>
  </si>
  <si>
    <t>SLA　５５２０３－A</t>
    <phoneticPr fontId="28"/>
  </si>
  <si>
    <t>標準A</t>
    <rPh sb="0" eb="2">
      <t>ヒョウジュン</t>
    </rPh>
    <phoneticPr fontId="28"/>
  </si>
  <si>
    <t>KA０８－１６０２</t>
  </si>
  <si>
    <t>内倒し障子滑車取付金具ロ＾ラー付</t>
    <rPh sb="0" eb="1">
      <t>ウチ</t>
    </rPh>
    <rPh sb="1" eb="2">
      <t>タオ</t>
    </rPh>
    <rPh sb="3" eb="5">
      <t>ショウジ</t>
    </rPh>
    <rPh sb="5" eb="7">
      <t>カッシャ</t>
    </rPh>
    <rPh sb="7" eb="9">
      <t>トリツケ</t>
    </rPh>
    <rPh sb="9" eb="11">
      <t>カナグ</t>
    </rPh>
    <rPh sb="15" eb="16">
      <t>ツキ</t>
    </rPh>
    <phoneticPr fontId="28"/>
  </si>
  <si>
    <t>KA　５５－７12</t>
    <phoneticPr fontId="28"/>
  </si>
  <si>
    <t>三協立山</t>
    <rPh sb="0" eb="4">
      <t>サンキョウタテヤマ</t>
    </rPh>
    <phoneticPr fontId="28"/>
  </si>
  <si>
    <t>KA０８－９０５</t>
  </si>
  <si>
    <t>KA　５５－４０４－SP</t>
    <phoneticPr fontId="28"/>
  </si>
  <si>
    <t>KA０８－５５０１</t>
  </si>
  <si>
    <t>TAF　３０－４０６</t>
    <phoneticPr fontId="28"/>
  </si>
  <si>
    <t>KA０８－１４０４</t>
  </si>
  <si>
    <t>チリが０の時</t>
    <rPh sb="5" eb="6">
      <t>トキ</t>
    </rPh>
    <phoneticPr fontId="28"/>
  </si>
  <si>
    <t>OP　３００－０１５</t>
    <phoneticPr fontId="28"/>
  </si>
  <si>
    <t>ベースプレート</t>
  </si>
  <si>
    <t>KA０８－４２５３（４２５４）</t>
  </si>
  <si>
    <t>KY０８－２０３</t>
  </si>
  <si>
    <t>突き出し障子滑車取付金具</t>
    <rPh sb="0" eb="1">
      <t>ツ</t>
    </rPh>
    <rPh sb="2" eb="3">
      <t>ダ</t>
    </rPh>
    <rPh sb="4" eb="6">
      <t>ショウジ</t>
    </rPh>
    <rPh sb="6" eb="8">
      <t>カッシャ</t>
    </rPh>
    <rPh sb="8" eb="10">
      <t>トリツケ</t>
    </rPh>
    <rPh sb="10" eb="12">
      <t>カナグ</t>
    </rPh>
    <phoneticPr fontId="28"/>
  </si>
  <si>
    <t>KY０８－２０４</t>
  </si>
  <si>
    <t>突き出し枠滑車用スペーサー</t>
    <rPh sb="0" eb="1">
      <t>ツ</t>
    </rPh>
    <rPh sb="2" eb="3">
      <t>ダ</t>
    </rPh>
    <rPh sb="4" eb="5">
      <t>ワク</t>
    </rPh>
    <rPh sb="5" eb="7">
      <t>カッシャ</t>
    </rPh>
    <rPh sb="7" eb="8">
      <t>ヨウ</t>
    </rPh>
    <phoneticPr fontId="28"/>
  </si>
  <si>
    <t>KA８８－２０８</t>
  </si>
  <si>
    <t>ステイBRT　ナット付</t>
    <rPh sb="10" eb="11">
      <t>ツキ</t>
    </rPh>
    <phoneticPr fontId="28"/>
  </si>
  <si>
    <t>合　計</t>
    <rPh sb="0" eb="1">
      <t>ゴウ</t>
    </rPh>
    <rPh sb="2" eb="3">
      <t>ケイ</t>
    </rPh>
    <phoneticPr fontId="28"/>
  </si>
  <si>
    <t xml:space="preserve"> 別紙図面　有　・　無</t>
    <rPh sb="1" eb="3">
      <t>ベッシ</t>
    </rPh>
    <rPh sb="3" eb="5">
      <t>ズメン</t>
    </rPh>
    <rPh sb="6" eb="7">
      <t>ア</t>
    </rPh>
    <rPh sb="10" eb="11">
      <t>ナ</t>
    </rPh>
    <phoneticPr fontId="28"/>
  </si>
  <si>
    <t>受領印</t>
    <rPh sb="0" eb="3">
      <t>ジュリョウイン</t>
    </rPh>
    <phoneticPr fontId="28"/>
  </si>
  <si>
    <t>E/S　０５０－０３０－１</t>
    <phoneticPr fontId="28"/>
  </si>
  <si>
    <t>ワイヤーロープ３Φ２００M巻</t>
    <rPh sb="13" eb="14">
      <t>マ</t>
    </rPh>
    <phoneticPr fontId="28"/>
  </si>
  <si>
    <t>E/S　０５０－０３０－１M</t>
    <phoneticPr fontId="28"/>
  </si>
  <si>
    <t>３Φワイヤー　１００M巻</t>
    <rPh sb="11" eb="12">
      <t>マ</t>
    </rPh>
    <phoneticPr fontId="28"/>
  </si>
  <si>
    <t>SLS　８１１３０－１　</t>
  </si>
  <si>
    <t>ワイヤーロープ１.８Φ　２００M巻</t>
    <rPh sb="16" eb="17">
      <t>マ</t>
    </rPh>
    <phoneticPr fontId="28"/>
  </si>
  <si>
    <t>E / W－８－９３０</t>
    <phoneticPr fontId="28"/>
  </si>
  <si>
    <t>　裏板</t>
    <rPh sb="1" eb="2">
      <t>ウラ</t>
    </rPh>
    <rPh sb="2" eb="3">
      <t>イタ</t>
    </rPh>
    <phoneticPr fontId="28"/>
  </si>
  <si>
    <t>OP－０５０－０２０</t>
  </si>
  <si>
    <t>SL５０突貫ネジ（ケーブルロッド）</t>
    <rPh sb="4" eb="6">
      <t>トッカン</t>
    </rPh>
    <phoneticPr fontId="28"/>
  </si>
  <si>
    <t>OP ０５０－００６</t>
  </si>
  <si>
    <t>標準クランプ台　Cタイプ</t>
    <rPh sb="0" eb="2">
      <t>ヒョウジュン</t>
    </rPh>
    <rPh sb="6" eb="7">
      <t>ダイ</t>
    </rPh>
    <phoneticPr fontId="28"/>
  </si>
  <si>
    <t>１００Φ転向滑車</t>
    <rPh sb="4" eb="6">
      <t>テンコウ</t>
    </rPh>
    <rPh sb="6" eb="8">
      <t>カッシャ</t>
    </rPh>
    <phoneticPr fontId="28"/>
  </si>
  <si>
    <t>OP ０５０－００７</t>
  </si>
  <si>
    <t>標準クランプ台　Bタイプ</t>
    <rPh sb="0" eb="2">
      <t>ヒョウジュン</t>
    </rPh>
    <rPh sb="6" eb="7">
      <t>ダイ</t>
    </rPh>
    <phoneticPr fontId="28"/>
  </si>
  <si>
    <t xml:space="preserve">　　　　名古屋市中川 区吉津一丁目　２１０９番地　アクティブ名古屋西アントレ　E </t>
    <rPh sb="4" eb="8">
      <t>ナゴヤシ</t>
    </rPh>
    <rPh sb="8" eb="10">
      <t>ナカガワ</t>
    </rPh>
    <rPh sb="11" eb="12">
      <t>ク</t>
    </rPh>
    <rPh sb="12" eb="13">
      <t>ヨシ</t>
    </rPh>
    <rPh sb="13" eb="14">
      <t>ツ</t>
    </rPh>
    <rPh sb="14" eb="17">
      <t>イッチョウメ</t>
    </rPh>
    <rPh sb="22" eb="24">
      <t>バンチ</t>
    </rPh>
    <rPh sb="30" eb="33">
      <t>ナゴヤ</t>
    </rPh>
    <rPh sb="33" eb="34">
      <t>ニシ</t>
    </rPh>
    <phoneticPr fontId="28"/>
  </si>
  <si>
    <t>E/S　０５０－０４０</t>
    <phoneticPr fontId="28"/>
  </si>
  <si>
    <t>シンブル</t>
  </si>
  <si>
    <t>OP ０５０－００８</t>
  </si>
  <si>
    <t>標準クランプ台　Aタイプ</t>
    <rPh sb="0" eb="2">
      <t>ヒョウジュン</t>
    </rPh>
    <rPh sb="6" eb="7">
      <t>ダイ</t>
    </rPh>
    <phoneticPr fontId="28"/>
  </si>
  <si>
    <t>　　　　TEL０５２－４１４－４５８０　　中部システム工業株式会社</t>
    <rPh sb="21" eb="23">
      <t>チュウブ</t>
    </rPh>
    <rPh sb="27" eb="29">
      <t>コウギョウ</t>
    </rPh>
    <rPh sb="29" eb="33">
      <t>カブシキガイシャ</t>
    </rPh>
    <phoneticPr fontId="28"/>
  </si>
  <si>
    <t>ワイヤーストッパー</t>
  </si>
  <si>
    <t>KA０８－７００３</t>
  </si>
  <si>
    <t>BOXベース板　小</t>
    <rPh sb="6" eb="7">
      <t>イタ</t>
    </rPh>
    <rPh sb="8" eb="9">
      <t>ショウ</t>
    </rPh>
    <phoneticPr fontId="28"/>
  </si>
  <si>
    <t>ワイヤークリップ</t>
  </si>
  <si>
    <t>KA０８－７００４</t>
  </si>
  <si>
    <t>BOXベース板　大</t>
    <rPh sb="6" eb="7">
      <t>イタ</t>
    </rPh>
    <rPh sb="8" eb="9">
      <t>ダイ</t>
    </rPh>
    <phoneticPr fontId="28"/>
  </si>
  <si>
    <t>平成 30 年　７月　９ 日</t>
    <rPh sb="0" eb="2">
      <t>ヘイセイ</t>
    </rPh>
    <rPh sb="6" eb="7">
      <t>ネン</t>
    </rPh>
    <rPh sb="9" eb="10">
      <t>ガツ</t>
    </rPh>
    <rPh sb="13" eb="14">
      <t>ヒ</t>
    </rPh>
    <phoneticPr fontId="28"/>
  </si>
  <si>
    <t>　〒 ４５4－０９81</t>
    <phoneticPr fontId="28"/>
  </si>
  <si>
    <t xml:space="preserve">     E-mail  s.morimoto@helen.ocn.ne.jp</t>
    <phoneticPr fontId="28"/>
  </si>
  <si>
    <t>品　　　　名</t>
    <rPh sb="0" eb="1">
      <t>シナ</t>
    </rPh>
    <rPh sb="5" eb="6">
      <t>メイ</t>
    </rPh>
    <phoneticPr fontId="28"/>
  </si>
  <si>
    <t>森本</t>
    <rPh sb="0" eb="1">
      <t>モリ</t>
    </rPh>
    <rPh sb="1" eb="2">
      <t>ホン</t>
    </rPh>
    <phoneticPr fontId="28"/>
  </si>
  <si>
    <t>　　　　名古屋市中川 区吉津一丁目　２１０９番地　アクティブ名古屋西アントレ　E 号</t>
    <rPh sb="4" eb="8">
      <t>ナゴヤシ</t>
    </rPh>
    <rPh sb="8" eb="10">
      <t>ナカガワ</t>
    </rPh>
    <rPh sb="11" eb="12">
      <t>ク</t>
    </rPh>
    <rPh sb="12" eb="13">
      <t>ヨシ</t>
    </rPh>
    <rPh sb="13" eb="14">
      <t>ツ</t>
    </rPh>
    <rPh sb="14" eb="17">
      <t>イッチョウメ</t>
    </rPh>
    <rPh sb="22" eb="24">
      <t>バンチ</t>
    </rPh>
    <rPh sb="30" eb="33">
      <t>ナゴヤ</t>
    </rPh>
    <rPh sb="33" eb="34">
      <t>ニシ</t>
    </rPh>
    <rPh sb="41" eb="42">
      <t>ゴウ</t>
    </rPh>
    <phoneticPr fontId="28"/>
  </si>
  <si>
    <t>注　　　文　　　書</t>
    <rPh sb="0" eb="1">
      <t>チュウ</t>
    </rPh>
    <rPh sb="4" eb="5">
      <t>ブン</t>
    </rPh>
    <rPh sb="8" eb="9">
      <t>ショ</t>
    </rPh>
    <phoneticPr fontId="28"/>
  </si>
  <si>
    <t>N0－１</t>
    <phoneticPr fontId="28"/>
  </si>
  <si>
    <t>　　株式会社　愛知マドコン</t>
    <rPh sb="2" eb="6">
      <t>カブシキガイシャ</t>
    </rPh>
    <rPh sb="7" eb="9">
      <t>アイチ</t>
    </rPh>
    <phoneticPr fontId="28"/>
  </si>
  <si>
    <t>　河　田</t>
    <rPh sb="1" eb="2">
      <t>カワ</t>
    </rPh>
    <rPh sb="3" eb="4">
      <t>タ</t>
    </rPh>
    <phoneticPr fontId="28"/>
  </si>
  <si>
    <t>　株式会社　豊和</t>
    <rPh sb="1" eb="5">
      <t>カブシキガイシャ</t>
    </rPh>
    <rPh sb="6" eb="8">
      <t>ホウワ</t>
    </rPh>
    <phoneticPr fontId="28"/>
  </si>
  <si>
    <t>知　原</t>
    <rPh sb="0" eb="1">
      <t>チ</t>
    </rPh>
    <rPh sb="2" eb="3">
      <t>ハラ</t>
    </rPh>
    <phoneticPr fontId="28"/>
  </si>
  <si>
    <t>THS　１８３０</t>
    <phoneticPr fontId="28"/>
  </si>
  <si>
    <t>ダンパー</t>
    <phoneticPr fontId="28"/>
  </si>
  <si>
    <t>N N  ２ ３ R</t>
    <phoneticPr fontId="28"/>
  </si>
  <si>
    <t>　ハンドルボックス　埋込</t>
    <rPh sb="10" eb="11">
      <t>ウ</t>
    </rPh>
    <rPh sb="11" eb="12">
      <t>コ</t>
    </rPh>
    <phoneticPr fontId="28"/>
  </si>
  <si>
    <t>HK　１８２０</t>
    <phoneticPr fontId="28"/>
  </si>
  <si>
    <t>：：：：：：送信先：：：：：：</t>
    <rPh sb="6" eb="8">
      <t>ソウシン</t>
    </rPh>
    <rPh sb="8" eb="9">
      <t>サキ</t>
    </rPh>
    <phoneticPr fontId="28"/>
  </si>
  <si>
    <t xml:space="preserve">         N N　２３</t>
    <phoneticPr fontId="28"/>
  </si>
  <si>
    <t>　ハンドルボックス　露出</t>
    <rPh sb="10" eb="12">
      <t>ロシュツ</t>
    </rPh>
    <phoneticPr fontId="28"/>
  </si>
  <si>
    <t>VB２３－１</t>
  </si>
  <si>
    <t>皿バネ</t>
    <rPh sb="0" eb="1">
      <t>サラ</t>
    </rPh>
    <phoneticPr fontId="28"/>
  </si>
  <si>
    <t>〒４５４－０９８１</t>
    <phoneticPr fontId="28"/>
  </si>
  <si>
    <t xml:space="preserve">         N N　２３　B</t>
    <phoneticPr fontId="28"/>
  </si>
  <si>
    <t>　ハンドルボックス　露出防錆</t>
    <rPh sb="10" eb="12">
      <t>ロシュツ</t>
    </rPh>
    <rPh sb="12" eb="14">
      <t>ボウサビ</t>
    </rPh>
    <phoneticPr fontId="28"/>
  </si>
  <si>
    <t>VB２３－２</t>
  </si>
  <si>
    <t>ナット</t>
    <phoneticPr fontId="28"/>
  </si>
  <si>
    <t>御　中</t>
    <rPh sb="0" eb="1">
      <t>オ</t>
    </rPh>
    <rPh sb="2" eb="3">
      <t>ナカ</t>
    </rPh>
    <phoneticPr fontId="28"/>
  </si>
  <si>
    <t>名古屋市中川区吉津１丁目２１０９番地</t>
    <rPh sb="0" eb="4">
      <t>ナゴヤシ</t>
    </rPh>
    <rPh sb="4" eb="7">
      <t>ナカガワク</t>
    </rPh>
    <rPh sb="7" eb="8">
      <t>ヨシ</t>
    </rPh>
    <rPh sb="8" eb="9">
      <t>ツ</t>
    </rPh>
    <rPh sb="10" eb="12">
      <t>チョウメ</t>
    </rPh>
    <rPh sb="16" eb="18">
      <t>バンチ</t>
    </rPh>
    <phoneticPr fontId="28"/>
  </si>
  <si>
    <t>N N  ２ ３ RB</t>
    <phoneticPr fontId="28"/>
  </si>
  <si>
    <t>　ハンドルボックス埋込防錆</t>
    <rPh sb="9" eb="10">
      <t>ウ</t>
    </rPh>
    <rPh sb="10" eb="11">
      <t>コ</t>
    </rPh>
    <rPh sb="11" eb="13">
      <t>ボウサビ</t>
    </rPh>
    <phoneticPr fontId="28"/>
  </si>
  <si>
    <t>VB２３－３</t>
  </si>
  <si>
    <t>一般ボルト</t>
    <rPh sb="0" eb="2">
      <t>イッパン</t>
    </rPh>
    <phoneticPr fontId="28"/>
  </si>
  <si>
    <t>斉藤</t>
    <rPh sb="0" eb="2">
      <t>サイトウ</t>
    </rPh>
    <phoneticPr fontId="28"/>
  </si>
  <si>
    <t>様</t>
    <rPh sb="0" eb="1">
      <t>サマ</t>
    </rPh>
    <phoneticPr fontId="28"/>
  </si>
  <si>
    <t>アクティブ名古屋西アントレ E 号</t>
    <rPh sb="5" eb="8">
      <t>ナゴヤ</t>
    </rPh>
    <rPh sb="8" eb="9">
      <t>ニシ</t>
    </rPh>
    <rPh sb="16" eb="17">
      <t>ゴウ</t>
    </rPh>
    <phoneticPr fontId="28"/>
  </si>
  <si>
    <t>　H M－３</t>
  </si>
  <si>
    <t>　ハンドルボックス露出</t>
    <rPh sb="9" eb="11">
      <t>ロシュツ</t>
    </rPh>
    <phoneticPr fontId="28"/>
  </si>
  <si>
    <t>VB２３－４</t>
  </si>
  <si>
    <t>内倒用ボルト</t>
    <rPh sb="0" eb="1">
      <t>ウチ</t>
    </rPh>
    <rPh sb="1" eb="2">
      <t>タオ</t>
    </rPh>
    <rPh sb="2" eb="3">
      <t>ヨウ</t>
    </rPh>
    <phoneticPr fontId="28"/>
  </si>
  <si>
    <t>中部システム工業株式会社</t>
    <rPh sb="0" eb="2">
      <t>チュウブ</t>
    </rPh>
    <rPh sb="6" eb="8">
      <t>コウギョウ</t>
    </rPh>
    <rPh sb="8" eb="12">
      <t>カブシキガイシャ</t>
    </rPh>
    <phoneticPr fontId="28"/>
  </si>
  <si>
    <t>　H M－１</t>
  </si>
  <si>
    <t>　ハンドルボックス埋込</t>
    <rPh sb="9" eb="10">
      <t>ウ</t>
    </rPh>
    <rPh sb="10" eb="11">
      <t>コ</t>
    </rPh>
    <phoneticPr fontId="28"/>
  </si>
  <si>
    <t>　AK　８　L－G</t>
  </si>
  <si>
    <t>コントロールケーブル</t>
    <phoneticPr fontId="28"/>
  </si>
  <si>
    <t>拝啓　時下ますます御清栄のこととお喜び申し上げます。</t>
    <rPh sb="0" eb="2">
      <t>ハイケイ</t>
    </rPh>
    <rPh sb="3" eb="5">
      <t>ジカ</t>
    </rPh>
    <rPh sb="9" eb="12">
      <t>ゴセイエイ</t>
    </rPh>
    <rPh sb="17" eb="18">
      <t>ヨロコ</t>
    </rPh>
    <rPh sb="19" eb="20">
      <t>モウ</t>
    </rPh>
    <rPh sb="21" eb="22">
      <t>ア</t>
    </rPh>
    <phoneticPr fontId="28"/>
  </si>
  <si>
    <t>TEL　０５２－４１４－４５８０</t>
    <phoneticPr fontId="28"/>
  </si>
  <si>
    <t>NN２３R－E</t>
  </si>
  <si>
    <t>　煙感知器連動型ハンドルボックス</t>
    <rPh sb="1" eb="2">
      <t>ケムリ</t>
    </rPh>
    <rPh sb="2" eb="4">
      <t>カンチ</t>
    </rPh>
    <rPh sb="4" eb="5">
      <t>キ</t>
    </rPh>
    <rPh sb="5" eb="7">
      <t>レンドウ</t>
    </rPh>
    <rPh sb="7" eb="8">
      <t>カタ</t>
    </rPh>
    <phoneticPr fontId="28"/>
  </si>
  <si>
    <t>　WRP－２８</t>
  </si>
  <si>
    <t>転向滑車</t>
    <rPh sb="0" eb="2">
      <t>テンコウ</t>
    </rPh>
    <rPh sb="2" eb="4">
      <t>カッシャ</t>
    </rPh>
    <phoneticPr fontId="28"/>
  </si>
  <si>
    <t>日頃は、格別のお引き立てを賜り厚く御礼申し上げます。</t>
    <rPh sb="0" eb="2">
      <t>ヒゴロ</t>
    </rPh>
    <rPh sb="4" eb="6">
      <t>カクベツ</t>
    </rPh>
    <rPh sb="8" eb="9">
      <t>ヒ</t>
    </rPh>
    <rPh sb="10" eb="11">
      <t>タ</t>
    </rPh>
    <rPh sb="13" eb="14">
      <t>タマワ</t>
    </rPh>
    <rPh sb="15" eb="16">
      <t>アツ</t>
    </rPh>
    <rPh sb="17" eb="19">
      <t>オンレイ</t>
    </rPh>
    <rPh sb="19" eb="20">
      <t>モウ</t>
    </rPh>
    <rPh sb="21" eb="22">
      <t>ア</t>
    </rPh>
    <phoneticPr fontId="28"/>
  </si>
  <si>
    <t>FAX　０５２－４１４－４５８１</t>
    <phoneticPr fontId="28"/>
  </si>
  <si>
    <t>　mini　３</t>
  </si>
  <si>
    <t>　WRP－２７</t>
  </si>
  <si>
    <t>コーナー車</t>
    <rPh sb="4" eb="5">
      <t>クルマ</t>
    </rPh>
    <phoneticPr fontId="28"/>
  </si>
  <si>
    <t>早速ですが下記の通り、注文しますのでご査収下さいま</t>
    <rPh sb="0" eb="2">
      <t>サッソク</t>
    </rPh>
    <rPh sb="5" eb="7">
      <t>カキ</t>
    </rPh>
    <rPh sb="8" eb="9">
      <t>トオ</t>
    </rPh>
    <rPh sb="11" eb="13">
      <t>チュウモン</t>
    </rPh>
    <rPh sb="19" eb="21">
      <t>サシュウ</t>
    </rPh>
    <rPh sb="21" eb="22">
      <t>クダ</t>
    </rPh>
    <phoneticPr fontId="28"/>
  </si>
  <si>
    <t>　mini　１</t>
  </si>
  <si>
    <t>　WRP－７０</t>
  </si>
  <si>
    <t>大型コーナー車</t>
    <rPh sb="0" eb="2">
      <t>オオガタ</t>
    </rPh>
    <rPh sb="6" eb="7">
      <t>クルマ</t>
    </rPh>
    <phoneticPr fontId="28"/>
  </si>
  <si>
    <t>すようお願い申しあげます。　　　　　　　　　　　　敬具</t>
    <rPh sb="4" eb="5">
      <t>ネガ</t>
    </rPh>
    <rPh sb="6" eb="7">
      <t>モウ</t>
    </rPh>
    <rPh sb="25" eb="27">
      <t>ケイグ</t>
    </rPh>
    <phoneticPr fontId="28"/>
  </si>
  <si>
    <t>担当者　：　一　栁　裕　樹</t>
    <rPh sb="0" eb="3">
      <t>タントウシャ</t>
    </rPh>
    <rPh sb="6" eb="7">
      <t>イチ</t>
    </rPh>
    <rPh sb="8" eb="9">
      <t>ヤナギ</t>
    </rPh>
    <rPh sb="10" eb="11">
      <t>ユウ</t>
    </rPh>
    <rPh sb="12" eb="13">
      <t>キ</t>
    </rPh>
    <phoneticPr fontId="28"/>
  </si>
  <si>
    <t>　F H－２（４）</t>
  </si>
  <si>
    <t>　WR－２６</t>
  </si>
  <si>
    <t>ワイヤー　２mm　５０M</t>
    <phoneticPr fontId="28"/>
  </si>
  <si>
    <t>　F H－２N（４N）</t>
  </si>
  <si>
    <t>　WRP－２５</t>
  </si>
  <si>
    <t>ハンドルボックス　</t>
    <phoneticPr fontId="28"/>
  </si>
  <si>
    <t>工　　事　　名</t>
    <rPh sb="0" eb="1">
      <t>コウ</t>
    </rPh>
    <rPh sb="3" eb="4">
      <t>コト</t>
    </rPh>
    <rPh sb="6" eb="7">
      <t>メイ</t>
    </rPh>
    <phoneticPr fontId="28"/>
  </si>
  <si>
    <t>納　　期</t>
    <rPh sb="0" eb="1">
      <t>オサム</t>
    </rPh>
    <rPh sb="3" eb="4">
      <t>キ</t>
    </rPh>
    <phoneticPr fontId="28"/>
  </si>
  <si>
    <t>　H M－１E</t>
    <phoneticPr fontId="28"/>
  </si>
  <si>
    <t>　WRP－３１</t>
    <phoneticPr fontId="28"/>
  </si>
  <si>
    <t>ローラーチェーン</t>
    <phoneticPr fontId="28"/>
  </si>
  <si>
    <t>　N N３００－３</t>
  </si>
  <si>
    <t>ZD－０５－H</t>
  </si>
  <si>
    <t>　ボックス本体のみ露出</t>
    <rPh sb="5" eb="7">
      <t>ホンタイ</t>
    </rPh>
    <rPh sb="9" eb="11">
      <t>ロシュツ</t>
    </rPh>
    <phoneticPr fontId="28"/>
  </si>
  <si>
    <t>品　　　番</t>
    <rPh sb="0" eb="1">
      <t>シナ</t>
    </rPh>
    <rPh sb="4" eb="5">
      <t>バン</t>
    </rPh>
    <phoneticPr fontId="28"/>
  </si>
  <si>
    <t>品　　　名</t>
    <rPh sb="0" eb="1">
      <t>シナ</t>
    </rPh>
    <rPh sb="4" eb="5">
      <t>メイ</t>
    </rPh>
    <phoneticPr fontId="28"/>
  </si>
  <si>
    <t>単位</t>
    <rPh sb="0" eb="2">
      <t>タンイ</t>
    </rPh>
    <phoneticPr fontId="28"/>
  </si>
  <si>
    <t>備　考</t>
    <rPh sb="0" eb="1">
      <t>ソナエ</t>
    </rPh>
    <rPh sb="2" eb="3">
      <t>コウ</t>
    </rPh>
    <phoneticPr fontId="28"/>
  </si>
  <si>
    <t>　N N３００－１</t>
  </si>
  <si>
    <t>ターンバックル（TURN-BC）</t>
    <phoneticPr fontId="28"/>
  </si>
  <si>
    <t>　N N－２３R</t>
  </si>
  <si>
    <t>WC　　２８</t>
    <phoneticPr fontId="28"/>
  </si>
  <si>
    <t>　ワイヤースリープ</t>
    <phoneticPr fontId="28"/>
  </si>
  <si>
    <t>　N N－２３</t>
  </si>
  <si>
    <t>WRP　２６－０４</t>
    <phoneticPr fontId="28"/>
  </si>
  <si>
    <t>障子ブラケット</t>
    <rPh sb="0" eb="2">
      <t>ショウジ</t>
    </rPh>
    <phoneticPr fontId="28"/>
  </si>
  <si>
    <t>　化粧カバー　　　露出</t>
    <rPh sb="1" eb="3">
      <t>ケショウ</t>
    </rPh>
    <rPh sb="9" eb="11">
      <t>ロシュツ</t>
    </rPh>
    <phoneticPr fontId="28"/>
  </si>
  <si>
    <t>ワイヤー　２mm　１００M</t>
    <phoneticPr fontId="28"/>
  </si>
  <si>
    <t>フレンドmini－L</t>
    <phoneticPr fontId="28"/>
  </si>
  <si>
    <t>　ハンドルボックスSET</t>
    <phoneticPr fontId="28"/>
  </si>
  <si>
    <t>GH 10-A-S</t>
    <phoneticPr fontId="28"/>
  </si>
  <si>
    <t>　ケーブルキヤー本体</t>
    <rPh sb="8" eb="10">
      <t>ホンタイ</t>
    </rPh>
    <phoneticPr fontId="28"/>
  </si>
  <si>
    <t>　化粧カバー</t>
    <rPh sb="1" eb="3">
      <t>ケショウ</t>
    </rPh>
    <phoneticPr fontId="28"/>
  </si>
  <si>
    <t>CH－１１S－５２</t>
    <phoneticPr fontId="28"/>
  </si>
  <si>
    <t>　ハンドル</t>
    <phoneticPr fontId="28"/>
  </si>
  <si>
    <t>CH－１２－９９</t>
    <phoneticPr fontId="28"/>
  </si>
  <si>
    <t xml:space="preserve">　N Nー１ </t>
  </si>
  <si>
    <t>　N Nー２３－１</t>
  </si>
  <si>
    <t>　ボックス本体</t>
    <rPh sb="5" eb="7">
      <t>ホンタイ</t>
    </rPh>
    <phoneticPr fontId="28"/>
  </si>
  <si>
    <t>　N Nー２３－２</t>
  </si>
  <si>
    <t>　N Nー２３－３</t>
  </si>
  <si>
    <t>　捨箱</t>
    <rPh sb="1" eb="2">
      <t>ス</t>
    </rPh>
    <rPh sb="2" eb="3">
      <t>ハコ</t>
    </rPh>
    <phoneticPr fontId="28"/>
  </si>
  <si>
    <t>　N Nー２３－４０</t>
  </si>
  <si>
    <t>計</t>
    <rPh sb="0" eb="1">
      <t>ケイ</t>
    </rPh>
    <phoneticPr fontId="28"/>
  </si>
  <si>
    <t>　送り先</t>
    <rPh sb="1" eb="2">
      <t>オク</t>
    </rPh>
    <rPh sb="3" eb="4">
      <t>サキ</t>
    </rPh>
    <phoneticPr fontId="28"/>
  </si>
  <si>
    <t>累計</t>
    <rPh sb="0" eb="2">
      <t>ルイケイ</t>
    </rPh>
    <phoneticPr fontId="28"/>
  </si>
  <si>
    <t>　月</t>
    <rPh sb="1" eb="2">
      <t>ガツ</t>
    </rPh>
    <phoneticPr fontId="28"/>
  </si>
  <si>
    <t>SLA25102-13</t>
    <phoneticPr fontId="1"/>
  </si>
  <si>
    <t>KA25－203</t>
    <phoneticPr fontId="1"/>
  </si>
  <si>
    <t>KA25－406</t>
    <phoneticPr fontId="1"/>
  </si>
  <si>
    <t>KA25－001</t>
    <phoneticPr fontId="1"/>
  </si>
  <si>
    <t>KA25－004</t>
    <phoneticPr fontId="1"/>
  </si>
  <si>
    <t>SLA　８０１２１－１００</t>
    <phoneticPr fontId="1"/>
  </si>
  <si>
    <t>K830010TS</t>
    <phoneticPr fontId="1"/>
  </si>
  <si>
    <t>　</t>
    <phoneticPr fontId="1"/>
  </si>
  <si>
    <t>K800030-TA-10</t>
    <phoneticPr fontId="1"/>
  </si>
  <si>
    <t>SLA80131-25M</t>
    <phoneticPr fontId="1"/>
  </si>
  <si>
    <t>SLA80010-02</t>
    <phoneticPr fontId="1"/>
  </si>
  <si>
    <t>SLA80010-03</t>
    <phoneticPr fontId="1"/>
  </si>
  <si>
    <t>令和　8　年  　月 　日</t>
    <rPh sb="0" eb="2">
      <t>レイワ</t>
    </rPh>
    <rPh sb="5" eb="6">
      <t>ネン</t>
    </rPh>
    <rPh sb="9" eb="10">
      <t>ガツ</t>
    </rPh>
    <rPh sb="12" eb="13">
      <t>ヒ</t>
    </rPh>
    <phoneticPr fontId="28"/>
  </si>
  <si>
    <t>　発効日：　令和  8　年 　月　　日</t>
    <rPh sb="1" eb="4">
      <t>ハッコウビ</t>
    </rPh>
    <rPh sb="6" eb="8">
      <t>レイワ</t>
    </rPh>
    <rPh sb="12" eb="13">
      <t>ネン</t>
    </rPh>
    <rPh sb="15" eb="16">
      <t>ガツ</t>
    </rPh>
    <rPh sb="18" eb="19">
      <t>ニチ</t>
    </rPh>
    <phoneticPr fontId="28"/>
  </si>
  <si>
    <t>令和　 8 年  3  月　　日</t>
    <rPh sb="0" eb="2">
      <t>レイワ</t>
    </rPh>
    <rPh sb="6" eb="7">
      <t>ネン</t>
    </rPh>
    <rPh sb="12" eb="13">
      <t>ガツ</t>
    </rPh>
    <rPh sb="15" eb="16">
      <t>ヒ</t>
    </rPh>
    <phoneticPr fontId="28"/>
  </si>
  <si>
    <t>令和　8　年　3　月   日　</t>
    <rPh sb="0" eb="2">
      <t>レイワ</t>
    </rPh>
    <rPh sb="5" eb="6">
      <t>ネン</t>
    </rPh>
    <rPh sb="9" eb="10">
      <t>ガツ</t>
    </rPh>
    <rPh sb="13" eb="14">
      <t>カ</t>
    </rPh>
    <phoneticPr fontId="28"/>
  </si>
  <si>
    <t>SLA81511-A</t>
    <phoneticPr fontId="1"/>
  </si>
  <si>
    <t>SLA81410-A-200</t>
    <phoneticPr fontId="1"/>
  </si>
  <si>
    <t xml:space="preserve">令和　8 年　6 月  日 </t>
    <rPh sb="0" eb="2">
      <t>レイワ</t>
    </rPh>
    <phoneticPr fontId="1"/>
  </si>
  <si>
    <t xml:space="preserve">令和　8 年　7 月  日 </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</si>
</sst>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76" formatCode="0_);[Red]\(0\)"/>
  </numFmts>
  <fonts count="52">
    <font>
      <sz val="11"/>
      <color theme="1"/>
      <name val="ＭＳ Ｐゴシック"/>
      <family val="2"/>
      <charset val="128"/>
      <scheme val="minor"/>
    </font>
    <font>
      <sz val="6"/>
      <name val="ＭＳ Ｐゴシック"/>
      <family val="2"/>
      <charset val="128"/>
      <scheme val="minor"/>
    </font>
    <font>
      <sz val="9"/>
      <color theme="1"/>
      <name val="ＭＳ Ｐゴシック"/>
      <family val="2"/>
      <charset val="128"/>
      <scheme val="minor"/>
    </font>
    <font>
      <sz val="10"/>
      <color theme="1"/>
      <name val="ＭＳ Ｐゴシック"/>
      <family val="3"/>
      <charset val="128"/>
      <scheme val="minor"/>
    </font>
    <font>
      <sz val="10"/>
      <color theme="1"/>
      <name val="ＭＳ Ｐゴシック"/>
      <family val="2"/>
      <charset val="128"/>
      <scheme val="minor"/>
    </font>
    <font>
      <sz val="11"/>
      <color theme="1"/>
      <name val="ＭＳ Ｐゴシック"/>
      <family val="3"/>
      <charset val="128"/>
      <scheme val="minor"/>
    </font>
    <font>
      <sz val="11"/>
      <color theme="1"/>
      <name val="ＭＳ Ｐゴシック"/>
      <family val="2"/>
      <charset val="128"/>
      <scheme val="minor"/>
    </font>
    <font>
      <sz val="14"/>
      <color theme="1"/>
      <name val="ＭＳ Ｐゴシック"/>
      <family val="3"/>
      <charset val="128"/>
      <scheme val="minor"/>
    </font>
    <font>
      <sz val="9"/>
      <color theme="1"/>
      <name val="ＭＳ Ｐゴシック"/>
      <family val="3"/>
      <charset val="128"/>
      <scheme val="minor"/>
    </font>
    <font>
      <sz val="11"/>
      <color theme="1"/>
      <name val="HGPｺﾞｼｯｸM"/>
      <family val="3"/>
      <charset val="128"/>
    </font>
    <font>
      <sz val="10"/>
      <color theme="1"/>
      <name val="HGPｺﾞｼｯｸM"/>
      <family val="3"/>
      <charset val="128"/>
    </font>
    <font>
      <sz val="12"/>
      <color theme="1"/>
      <name val="ＭＳ Ｐゴシック"/>
      <family val="3"/>
      <charset val="128"/>
      <scheme val="minor"/>
    </font>
    <font>
      <sz val="16"/>
      <color theme="1"/>
      <name val="HGPｺﾞｼｯｸM"/>
      <family val="3"/>
      <charset val="128"/>
    </font>
    <font>
      <sz val="11"/>
      <color theme="1"/>
      <name val="HGPｺﾞｼｯｸM"/>
      <family val="3"/>
      <charset val="128"/>
    </font>
    <font>
      <sz val="10"/>
      <color theme="1"/>
      <name val="HGPｺﾞｼｯｸM"/>
      <family val="3"/>
      <charset val="128"/>
    </font>
    <font>
      <sz val="11"/>
      <color theme="1"/>
      <name val="ＭＳ Ｐゴシック"/>
      <family val="2"/>
      <charset val="128"/>
      <scheme val="minor"/>
    </font>
    <font>
      <sz val="12"/>
      <color theme="1"/>
      <name val="HGPｺﾞｼｯｸM"/>
      <family val="3"/>
      <charset val="128"/>
    </font>
    <font>
      <sz val="9"/>
      <color theme="1"/>
      <name val="HGPｺﾞｼｯｸM"/>
      <family val="3"/>
      <charset val="128"/>
    </font>
    <font>
      <sz val="10"/>
      <color theme="1"/>
      <name val="ＭＳ Ｐゴシック"/>
      <family val="3"/>
      <charset val="128"/>
      <scheme val="minor"/>
    </font>
    <font>
      <sz val="14"/>
      <color theme="1"/>
      <name val="ＭＳ Ｐゴシック"/>
      <family val="3"/>
      <charset val="128"/>
      <scheme val="minor"/>
    </font>
    <font>
      <sz val="11"/>
      <color theme="1"/>
      <name val="ＭＳ Ｐゴシック"/>
      <family val="3"/>
      <charset val="128"/>
      <scheme val="minor"/>
    </font>
    <font>
      <sz val="10"/>
      <color theme="1"/>
      <name val="ＭＳ Ｐゴシック"/>
      <family val="2"/>
      <charset val="128"/>
      <scheme val="minor"/>
    </font>
    <font>
      <sz val="14"/>
      <color theme="1"/>
      <name val="ＭＳ Ｐゴシック"/>
      <family val="2"/>
      <charset val="128"/>
      <scheme val="minor"/>
    </font>
    <font>
      <sz val="8"/>
      <color theme="1"/>
      <name val="ＭＳ Ｐゴシック"/>
      <family val="3"/>
      <charset val="128"/>
      <scheme val="minor"/>
    </font>
    <font>
      <sz val="48"/>
      <color theme="1"/>
      <name val="ＭＳ Ｐゴシック"/>
      <family val="3"/>
      <charset val="128"/>
      <scheme val="minor"/>
    </font>
    <font>
      <sz val="16"/>
      <color theme="1"/>
      <name val="ＭＳ Ｐゴシック"/>
      <family val="3"/>
      <charset val="128"/>
      <scheme val="minor"/>
    </font>
    <font>
      <sz val="11"/>
      <name val="ＭＳ Ｐゴシック"/>
      <family val="3"/>
      <charset val="128"/>
    </font>
    <font>
      <sz val="12"/>
      <name val="ＭＳ Ｐゴシック"/>
      <family val="3"/>
      <charset val="128"/>
      <scheme val="minor"/>
    </font>
    <font>
      <sz val="6"/>
      <name val="ＭＳ Ｐゴシック"/>
      <family val="3"/>
      <charset val="128"/>
    </font>
    <font>
      <sz val="10"/>
      <name val="ＭＳ Ｐゴシック"/>
      <family val="3"/>
      <charset val="128"/>
    </font>
    <font>
      <sz val="12"/>
      <name val="ＭＳ Ｐゴシック"/>
      <family val="3"/>
      <charset val="128"/>
    </font>
    <font>
      <sz val="14"/>
      <name val="ＭＳ Ｐゴシック"/>
      <family val="3"/>
      <charset val="128"/>
    </font>
    <font>
      <sz val="9"/>
      <name val="ＭＳ Ｐゴシック"/>
      <family val="3"/>
      <charset val="128"/>
    </font>
    <font>
      <sz val="8"/>
      <name val="ＭＳ Ｐゴシック"/>
      <family val="3"/>
      <charset val="128"/>
    </font>
    <font>
      <sz val="9"/>
      <name val="Yu Gothic"/>
      <family val="3"/>
      <charset val="128"/>
    </font>
    <font>
      <sz val="11"/>
      <name val="ＭＳ Ｐゴシック"/>
      <family val="3"/>
      <charset val="128"/>
      <scheme val="minor"/>
    </font>
    <font>
      <sz val="10"/>
      <name val="ＭＳ Ｐゴシック"/>
      <family val="3"/>
      <charset val="128"/>
      <scheme val="minor"/>
    </font>
    <font>
      <sz val="20"/>
      <name val="ＭＳ Ｐゴシック"/>
      <family val="3"/>
      <charset val="128"/>
      <scheme val="minor"/>
    </font>
    <font>
      <sz val="14"/>
      <name val="ＭＳ Ｐゴシック"/>
      <family val="3"/>
      <charset val="128"/>
      <scheme val="minor"/>
    </font>
    <font>
      <sz val="11"/>
      <color rgb="FFFF0000"/>
      <name val="ＭＳ Ｐゴシック"/>
      <family val="3"/>
      <charset val="128"/>
    </font>
    <font>
      <sz val="11"/>
      <name val="HGSｺﾞｼｯｸM"/>
      <family val="3"/>
      <charset val="128"/>
    </font>
    <font>
      <sz val="14"/>
      <name val="HGSｺﾞｼｯｸM"/>
      <family val="3"/>
      <charset val="128"/>
    </font>
    <font>
      <sz val="12"/>
      <name val="HGSｺﾞｼｯｸM"/>
      <family val="3"/>
      <charset val="128"/>
    </font>
    <font>
      <sz val="10"/>
      <name val="HGSｺﾞｼｯｸM"/>
      <family val="3"/>
      <charset val="128"/>
    </font>
    <font>
      <sz val="20"/>
      <name val="HGSｺﾞｼｯｸM"/>
      <family val="3"/>
      <charset val="128"/>
    </font>
    <font>
      <sz val="10"/>
      <name val="HGPｺﾞｼｯｸM"/>
      <family val="3"/>
      <charset val="128"/>
    </font>
    <font>
      <sz val="18"/>
      <name val="ＭＳ Ｐゴシック"/>
      <family val="3"/>
      <charset val="128"/>
      <scheme val="minor"/>
    </font>
    <font>
      <sz val="8"/>
      <name val="ＭＳ Ｐゴシック"/>
      <family val="3"/>
      <charset val="128"/>
      <scheme val="minor"/>
    </font>
    <font>
      <sz val="18"/>
      <name val="ＭＳ Ｐゴシック"/>
      <family val="3"/>
      <charset val="128"/>
    </font>
    <font>
      <sz val="18"/>
      <name val="HGSｺﾞｼｯｸM"/>
      <family val="3"/>
      <charset val="128"/>
    </font>
    <font>
      <sz val="16"/>
      <name val="HGSｺﾞｼｯｸM"/>
      <family val="3"/>
      <charset val="128"/>
    </font>
    <font>
      <sz val="16"/>
      <name val="ＭＳ Ｐゴシック"/>
      <family val="3"/>
      <charset val="128"/>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0" tint="-4.9989318521683403E-2"/>
        <bgColor indexed="64"/>
      </patternFill>
    </fill>
  </fills>
  <borders count="35">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indexed="64"/>
      </top>
      <bottom/>
      <diagonal/>
    </border>
    <border>
      <left/>
      <right style="thin">
        <color auto="1"/>
      </right>
      <top style="thin">
        <color indexed="64"/>
      </top>
      <bottom/>
      <diagonal/>
    </border>
    <border>
      <left style="thin">
        <color auto="1"/>
      </left>
      <right/>
      <top style="thin">
        <color indexed="64"/>
      </top>
      <bottom/>
      <diagonal/>
    </border>
    <border>
      <left/>
      <right style="thin">
        <color auto="1"/>
      </right>
      <top/>
      <bottom style="thin">
        <color indexed="64"/>
      </bottom>
      <diagonal/>
    </border>
    <border>
      <left/>
      <right style="thin">
        <color indexed="64"/>
      </right>
      <top/>
      <bottom/>
      <diagonal/>
    </border>
    <border>
      <left style="thin">
        <color auto="1"/>
      </left>
      <right/>
      <top/>
      <bottom style="thin">
        <color auto="1"/>
      </bottom>
      <diagonal/>
    </border>
    <border>
      <left style="thin">
        <color auto="1"/>
      </left>
      <right/>
      <top/>
      <bottom/>
      <diagonal/>
    </border>
    <border>
      <left/>
      <right/>
      <top style="double">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3">
    <xf numFmtId="0" fontId="0" fillId="0" borderId="0">
      <alignment vertical="center"/>
    </xf>
    <xf numFmtId="38" fontId="6" fillId="0" borderId="0" applyFont="0" applyFill="0" applyBorder="0" applyAlignment="0" applyProtection="0">
      <alignment vertical="center"/>
    </xf>
    <xf numFmtId="6" fontId="6" fillId="0" borderId="0" applyFont="0" applyFill="0" applyBorder="0" applyAlignment="0" applyProtection="0">
      <alignment vertical="center"/>
    </xf>
  </cellStyleXfs>
  <cellXfs count="674">
    <xf numFmtId="0" fontId="0" fillId="0" borderId="0" xfId="0">
      <alignment vertical="center"/>
    </xf>
    <xf numFmtId="0" fontId="4" fillId="0" borderId="0" xfId="0" applyFont="1">
      <alignment vertical="center"/>
    </xf>
    <xf numFmtId="0" fontId="3" fillId="0" borderId="3" xfId="0" applyFont="1" applyBorder="1" applyAlignment="1">
      <alignment horizontal="distributed" vertical="center"/>
    </xf>
    <xf numFmtId="0" fontId="3" fillId="0" borderId="0" xfId="0" applyFont="1">
      <alignment vertical="center"/>
    </xf>
    <xf numFmtId="0" fontId="4" fillId="0" borderId="3" xfId="0" applyFont="1" applyBorder="1" applyAlignment="1">
      <alignment horizontal="center" vertical="center"/>
    </xf>
    <xf numFmtId="0" fontId="3" fillId="0" borderId="3" xfId="0" applyFont="1" applyBorder="1" applyAlignment="1">
      <alignment horizontal="center" vertical="center"/>
    </xf>
    <xf numFmtId="38" fontId="0" fillId="0" borderId="3" xfId="1" applyFont="1" applyBorder="1">
      <alignment vertical="center"/>
    </xf>
    <xf numFmtId="0" fontId="2" fillId="0" borderId="3" xfId="0" applyFont="1" applyBorder="1" applyAlignment="1">
      <alignment horizontal="center" vertical="center"/>
    </xf>
    <xf numFmtId="0" fontId="4" fillId="0" borderId="0" xfId="0" applyFont="1" applyAlignment="1">
      <alignment horizontal="center" vertical="center"/>
    </xf>
    <xf numFmtId="0" fontId="9" fillId="0" borderId="0" xfId="0" applyFont="1">
      <alignment vertical="center"/>
    </xf>
    <xf numFmtId="0" fontId="9" fillId="0" borderId="3" xfId="0" applyFont="1" applyBorder="1" applyAlignment="1">
      <alignment horizontal="center" vertical="center"/>
    </xf>
    <xf numFmtId="0" fontId="9" fillId="0" borderId="0" xfId="0" applyFont="1" applyAlignment="1">
      <alignment horizontal="center" vertical="center"/>
    </xf>
    <xf numFmtId="0" fontId="10" fillId="0" borderId="3" xfId="0" applyFont="1" applyBorder="1" applyAlignment="1">
      <alignment horizontal="center" vertical="center"/>
    </xf>
    <xf numFmtId="56" fontId="9" fillId="0" borderId="3" xfId="0" applyNumberFormat="1" applyFont="1" applyBorder="1" applyAlignment="1">
      <alignment horizontal="center" vertical="center"/>
    </xf>
    <xf numFmtId="38" fontId="9" fillId="0" borderId="3" xfId="1" applyFont="1" applyBorder="1">
      <alignment vertical="center"/>
    </xf>
    <xf numFmtId="0" fontId="0" fillId="0" borderId="0" xfId="0" applyAlignment="1">
      <alignment horizontal="center" vertical="center"/>
    </xf>
    <xf numFmtId="0" fontId="5" fillId="0" borderId="3" xfId="0" applyFont="1" applyBorder="1" applyAlignment="1">
      <alignment horizontal="center" vertical="center"/>
    </xf>
    <xf numFmtId="38" fontId="5" fillId="0" borderId="3" xfId="1" applyFont="1" applyBorder="1">
      <alignment vertical="center"/>
    </xf>
    <xf numFmtId="0" fontId="0" fillId="0" borderId="3" xfId="0" applyBorder="1" applyAlignment="1">
      <alignment horizontal="center" vertical="center"/>
    </xf>
    <xf numFmtId="0" fontId="10" fillId="0" borderId="0" xfId="0" applyFont="1" applyAlignment="1">
      <alignment horizontal="center" vertical="center"/>
    </xf>
    <xf numFmtId="56" fontId="3" fillId="0" borderId="3" xfId="0" applyNumberFormat="1" applyFont="1" applyBorder="1" applyAlignment="1">
      <alignment horizontal="center" vertical="center"/>
    </xf>
    <xf numFmtId="0" fontId="5" fillId="0" borderId="3" xfId="0" applyFont="1" applyBorder="1">
      <alignment vertical="center"/>
    </xf>
    <xf numFmtId="0" fontId="12" fillId="0" borderId="0" xfId="0" applyFont="1">
      <alignment vertical="center"/>
    </xf>
    <xf numFmtId="0" fontId="13" fillId="0" borderId="0" xfId="0" applyFont="1">
      <alignment vertical="center"/>
    </xf>
    <xf numFmtId="0" fontId="15" fillId="0" borderId="0" xfId="0" applyFont="1">
      <alignment vertical="center"/>
    </xf>
    <xf numFmtId="0" fontId="14" fillId="0" borderId="0" xfId="0" applyFont="1" applyAlignment="1">
      <alignment horizontal="center" vertical="center"/>
    </xf>
    <xf numFmtId="0" fontId="14" fillId="0" borderId="3" xfId="0" applyFont="1" applyBorder="1" applyAlignment="1">
      <alignment horizontal="center" vertical="center"/>
    </xf>
    <xf numFmtId="0" fontId="18" fillId="0" borderId="3" xfId="0" applyFont="1" applyBorder="1" applyAlignment="1">
      <alignment horizontal="center" vertical="center"/>
    </xf>
    <xf numFmtId="0" fontId="13" fillId="0" borderId="0" xfId="0" applyFont="1" applyAlignment="1">
      <alignment horizontal="center" vertical="center"/>
    </xf>
    <xf numFmtId="56" fontId="14" fillId="0" borderId="0" xfId="0" applyNumberFormat="1" applyFont="1" applyAlignment="1">
      <alignment horizontal="left" vertical="center"/>
    </xf>
    <xf numFmtId="0" fontId="21" fillId="0" borderId="0" xfId="0" applyFont="1" applyAlignment="1">
      <alignment horizontal="left" vertical="center"/>
    </xf>
    <xf numFmtId="38" fontId="13" fillId="0" borderId="0" xfId="1" applyFont="1">
      <alignment vertical="center"/>
    </xf>
    <xf numFmtId="0" fontId="17" fillId="0" borderId="0" xfId="0" applyFont="1" applyAlignment="1">
      <alignment horizontal="center" vertical="center"/>
    </xf>
    <xf numFmtId="0" fontId="20" fillId="0" borderId="0" xfId="0" applyFont="1" applyAlignment="1">
      <alignment horizontal="left" vertical="center"/>
    </xf>
    <xf numFmtId="0" fontId="15" fillId="0" borderId="0" xfId="0" applyFont="1" applyAlignment="1">
      <alignment horizontal="left" vertical="center"/>
    </xf>
    <xf numFmtId="0" fontId="22" fillId="0" borderId="0" xfId="0" applyFont="1" applyAlignment="1">
      <alignment horizontal="center" vertical="center"/>
    </xf>
    <xf numFmtId="0" fontId="15" fillId="0" borderId="0" xfId="0" applyFont="1" applyAlignment="1">
      <alignment horizontal="center" vertical="center"/>
    </xf>
    <xf numFmtId="38" fontId="15" fillId="0" borderId="0" xfId="1" applyFont="1">
      <alignment vertical="center"/>
    </xf>
    <xf numFmtId="38" fontId="15" fillId="0" borderId="3" xfId="1" applyFont="1" applyBorder="1" applyAlignment="1">
      <alignment horizontal="right" vertical="center"/>
    </xf>
    <xf numFmtId="0" fontId="15" fillId="0" borderId="3" xfId="0" applyFont="1" applyBorder="1">
      <alignment vertical="center"/>
    </xf>
    <xf numFmtId="0" fontId="2" fillId="0" borderId="0" xfId="0" applyFont="1" applyAlignment="1">
      <alignment horizontal="center" vertical="center"/>
    </xf>
    <xf numFmtId="38" fontId="5" fillId="0" borderId="3" xfId="1" applyFont="1" applyBorder="1" applyAlignment="1">
      <alignment horizontal="right" vertical="center"/>
    </xf>
    <xf numFmtId="38" fontId="15" fillId="0" borderId="0" xfId="1" applyFont="1" applyAlignment="1">
      <alignment horizontal="right" vertical="center"/>
    </xf>
    <xf numFmtId="38" fontId="6" fillId="0" borderId="3" xfId="1" applyBorder="1" applyAlignment="1">
      <alignment horizontal="center" vertical="center"/>
    </xf>
    <xf numFmtId="38" fontId="15" fillId="0" borderId="4" xfId="1" applyFont="1" applyBorder="1" applyAlignment="1">
      <alignment horizontal="right" vertical="center"/>
    </xf>
    <xf numFmtId="0" fontId="0" fillId="0" borderId="1" xfId="0"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3" fillId="0" borderId="0" xfId="0" applyFont="1" applyAlignment="1">
      <alignment horizontal="center" vertical="center"/>
    </xf>
    <xf numFmtId="0" fontId="5" fillId="0" borderId="0" xfId="0" applyFont="1">
      <alignment vertical="center"/>
    </xf>
    <xf numFmtId="0" fontId="3" fillId="0" borderId="1" xfId="0" applyFont="1" applyBorder="1" applyAlignment="1">
      <alignment horizontal="center" vertical="center"/>
    </xf>
    <xf numFmtId="0" fontId="3" fillId="0" borderId="1" xfId="0" applyFont="1" applyBorder="1" applyAlignment="1">
      <alignment horizontal="center" vertical="center" shrinkToFit="1"/>
    </xf>
    <xf numFmtId="0" fontId="3" fillId="0" borderId="2" xfId="0" applyFont="1" applyBorder="1" applyAlignment="1">
      <alignment horizontal="center" vertical="center"/>
    </xf>
    <xf numFmtId="0" fontId="23" fillId="0" borderId="0" xfId="0" applyFont="1">
      <alignment vertical="center"/>
    </xf>
    <xf numFmtId="0" fontId="11" fillId="0" borderId="0" xfId="0" applyFont="1">
      <alignment vertical="center"/>
    </xf>
    <xf numFmtId="0" fontId="11" fillId="0" borderId="1" xfId="0" applyFont="1" applyBorder="1" applyAlignment="1">
      <alignment horizontal="left" vertical="center"/>
    </xf>
    <xf numFmtId="0" fontId="5" fillId="0" borderId="9" xfId="0" applyFont="1" applyBorder="1">
      <alignment vertical="center"/>
    </xf>
    <xf numFmtId="0" fontId="3" fillId="0" borderId="0" xfId="0" applyFont="1" applyAlignment="1">
      <alignment horizontal="distributed" vertical="center"/>
    </xf>
    <xf numFmtId="0" fontId="5" fillId="0" borderId="5" xfId="0" applyFont="1" applyBorder="1">
      <alignment vertical="center"/>
    </xf>
    <xf numFmtId="0" fontId="3" fillId="0" borderId="0" xfId="0" applyFont="1" applyAlignment="1">
      <alignment horizontal="left" vertical="center"/>
    </xf>
    <xf numFmtId="0" fontId="5" fillId="0" borderId="1" xfId="0" applyFont="1" applyBorder="1">
      <alignment vertical="center"/>
    </xf>
    <xf numFmtId="38" fontId="0" fillId="0" borderId="3" xfId="1" applyFont="1" applyBorder="1" applyAlignment="1">
      <alignment horizontal="center" vertical="center"/>
    </xf>
    <xf numFmtId="38" fontId="15" fillId="0" borderId="3" xfId="1" applyFont="1" applyBorder="1" applyAlignment="1">
      <alignment horizontal="center" vertical="center"/>
    </xf>
    <xf numFmtId="0" fontId="8" fillId="0" borderId="3" xfId="0" applyFont="1" applyBorder="1" applyAlignment="1">
      <alignment horizontal="center" vertical="center"/>
    </xf>
    <xf numFmtId="0" fontId="15" fillId="0" borderId="5" xfId="0" applyFont="1" applyBorder="1">
      <alignment vertical="center"/>
    </xf>
    <xf numFmtId="0" fontId="4" fillId="0" borderId="1" xfId="0" applyFont="1" applyBorder="1" applyAlignment="1">
      <alignment horizontal="center" vertical="center" shrinkToFit="1"/>
    </xf>
    <xf numFmtId="0" fontId="2" fillId="0" borderId="2" xfId="0" applyFont="1" applyBorder="1" applyAlignment="1">
      <alignment horizontal="left" vertical="center"/>
    </xf>
    <xf numFmtId="0" fontId="8" fillId="0" borderId="0" xfId="0" applyFont="1" applyAlignment="1">
      <alignment horizontal="center" vertical="center"/>
    </xf>
    <xf numFmtId="38" fontId="5" fillId="0" borderId="3" xfId="1" applyFont="1" applyBorder="1" applyAlignment="1">
      <alignment horizontal="center" vertical="center"/>
    </xf>
    <xf numFmtId="0" fontId="8" fillId="0" borderId="0" xfId="0" applyFont="1">
      <alignment vertical="center"/>
    </xf>
    <xf numFmtId="38" fontId="9" fillId="0" borderId="3" xfId="1" applyFont="1" applyBorder="1" applyAlignment="1">
      <alignment horizontal="center" vertical="center"/>
    </xf>
    <xf numFmtId="38" fontId="9" fillId="0" borderId="3" xfId="1" applyFont="1" applyBorder="1" applyAlignment="1">
      <alignment horizontal="right" vertical="center"/>
    </xf>
    <xf numFmtId="38" fontId="15" fillId="2" borderId="3" xfId="1" applyFont="1" applyFill="1" applyBorder="1" applyAlignment="1">
      <alignment horizontal="right" vertical="center"/>
    </xf>
    <xf numFmtId="38" fontId="15" fillId="2" borderId="5" xfId="1" applyFont="1" applyFill="1" applyBorder="1" applyAlignment="1">
      <alignment horizontal="right" vertical="center"/>
    </xf>
    <xf numFmtId="0" fontId="15" fillId="2" borderId="5" xfId="0" applyFont="1" applyFill="1" applyBorder="1">
      <alignment vertical="center"/>
    </xf>
    <xf numFmtId="0" fontId="15" fillId="2" borderId="3" xfId="0" applyFont="1" applyFill="1" applyBorder="1">
      <alignment vertical="center"/>
    </xf>
    <xf numFmtId="0" fontId="0" fillId="2" borderId="0" xfId="0" applyFill="1">
      <alignment vertical="center"/>
    </xf>
    <xf numFmtId="6" fontId="19" fillId="0" borderId="0" xfId="0" applyNumberFormat="1" applyFont="1">
      <alignment vertical="center"/>
    </xf>
    <xf numFmtId="0" fontId="18" fillId="0" borderId="4" xfId="0" applyFont="1" applyBorder="1" applyAlignment="1">
      <alignment horizontal="center" vertical="center"/>
    </xf>
    <xf numFmtId="0" fontId="12" fillId="0" borderId="0" xfId="0" applyFont="1" applyAlignment="1">
      <alignment horizontal="center" vertical="center"/>
    </xf>
    <xf numFmtId="0" fontId="9" fillId="0" borderId="4" xfId="0" applyFont="1" applyBorder="1" applyAlignment="1">
      <alignment horizontal="center" vertical="center"/>
    </xf>
    <xf numFmtId="0" fontId="10" fillId="0" borderId="4" xfId="0" applyFont="1" applyBorder="1" applyAlignment="1">
      <alignment horizontal="center" vertical="center"/>
    </xf>
    <xf numFmtId="0" fontId="18" fillId="0" borderId="0" xfId="0" applyFont="1" applyAlignment="1">
      <alignment horizontal="center" vertical="center"/>
    </xf>
    <xf numFmtId="38" fontId="9" fillId="0" borderId="0" xfId="1" applyFont="1" applyBorder="1" applyAlignment="1">
      <alignment horizontal="right" vertical="center"/>
    </xf>
    <xf numFmtId="0" fontId="9" fillId="0" borderId="4" xfId="0" applyFont="1" applyBorder="1">
      <alignment vertical="center"/>
    </xf>
    <xf numFmtId="38" fontId="9" fillId="0" borderId="4" xfId="1" applyFont="1" applyBorder="1" applyAlignment="1">
      <alignment horizontal="right" vertical="center"/>
    </xf>
    <xf numFmtId="56" fontId="9" fillId="0" borderId="0" xfId="0" applyNumberFormat="1" applyFont="1" applyAlignment="1">
      <alignment horizontal="center" vertical="center"/>
    </xf>
    <xf numFmtId="0" fontId="6" fillId="0" borderId="0" xfId="0" applyFont="1">
      <alignment vertical="center"/>
    </xf>
    <xf numFmtId="0" fontId="6" fillId="0" borderId="3" xfId="0" applyFont="1" applyBorder="1">
      <alignment vertical="center"/>
    </xf>
    <xf numFmtId="0" fontId="6" fillId="0" borderId="3" xfId="0" applyFont="1" applyBorder="1" applyAlignment="1">
      <alignment horizontal="center" vertical="center"/>
    </xf>
    <xf numFmtId="38" fontId="6" fillId="0" borderId="3" xfId="1" applyFont="1" applyBorder="1" applyAlignment="1">
      <alignment horizontal="right" vertical="center"/>
    </xf>
    <xf numFmtId="0" fontId="8" fillId="0" borderId="3" xfId="0" applyFont="1" applyBorder="1">
      <alignment vertical="center"/>
    </xf>
    <xf numFmtId="0" fontId="8" fillId="0" borderId="8" xfId="0" applyFont="1" applyBorder="1">
      <alignment vertical="center"/>
    </xf>
    <xf numFmtId="0" fontId="24" fillId="0" borderId="0" xfId="0" applyFont="1" applyAlignment="1">
      <alignment horizontal="center" vertical="center"/>
    </xf>
    <xf numFmtId="0" fontId="4" fillId="0" borderId="1" xfId="0" applyFont="1" applyBorder="1" applyAlignment="1">
      <alignment vertical="center" shrinkToFit="1"/>
    </xf>
    <xf numFmtId="38" fontId="5" fillId="3" borderId="3" xfId="1" applyFont="1" applyFill="1" applyBorder="1" applyAlignment="1">
      <alignment horizontal="right" vertical="center"/>
    </xf>
    <xf numFmtId="0" fontId="5" fillId="3" borderId="3" xfId="0" applyFont="1" applyFill="1" applyBorder="1">
      <alignment vertical="center"/>
    </xf>
    <xf numFmtId="0" fontId="5" fillId="3" borderId="0" xfId="0" applyFont="1" applyFill="1">
      <alignment vertical="center"/>
    </xf>
    <xf numFmtId="38" fontId="5" fillId="0" borderId="5" xfId="1" applyFont="1" applyBorder="1">
      <alignment vertical="center"/>
    </xf>
    <xf numFmtId="38" fontId="15" fillId="3" borderId="3" xfId="1" applyFont="1" applyFill="1" applyBorder="1" applyAlignment="1">
      <alignment horizontal="right" vertical="center"/>
    </xf>
    <xf numFmtId="38" fontId="15" fillId="3" borderId="3" xfId="1" applyFont="1" applyFill="1" applyBorder="1">
      <alignment vertical="center"/>
    </xf>
    <xf numFmtId="38" fontId="5" fillId="3" borderId="3" xfId="1" applyFont="1" applyFill="1" applyBorder="1">
      <alignment vertical="center"/>
    </xf>
    <xf numFmtId="0" fontId="5" fillId="0" borderId="3" xfId="0" applyFont="1" applyBorder="1" applyAlignment="1">
      <alignment vertical="center" shrinkToFit="1"/>
    </xf>
    <xf numFmtId="0" fontId="5" fillId="0" borderId="3" xfId="0" applyFont="1" applyBorder="1" applyAlignment="1">
      <alignment horizontal="center" vertical="center" shrinkToFit="1"/>
    </xf>
    <xf numFmtId="0" fontId="0" fillId="0" borderId="11" xfId="0" applyBorder="1" applyAlignment="1">
      <alignment horizontal="center" vertical="center"/>
    </xf>
    <xf numFmtId="0" fontId="0" fillId="0" borderId="4" xfId="0" applyBorder="1" applyAlignment="1">
      <alignment horizontal="center" vertical="center"/>
    </xf>
    <xf numFmtId="0" fontId="26" fillId="0" borderId="0" xfId="0" applyFont="1">
      <alignment vertical="center"/>
    </xf>
    <xf numFmtId="0" fontId="26" fillId="0" borderId="0" xfId="0" applyFont="1" applyAlignment="1">
      <alignment horizontal="center" vertical="center"/>
    </xf>
    <xf numFmtId="0" fontId="29" fillId="0" borderId="6" xfId="0" applyFont="1" applyBorder="1" applyAlignment="1">
      <alignment horizontal="center" vertical="center"/>
    </xf>
    <xf numFmtId="0" fontId="29" fillId="0" borderId="3" xfId="0" applyFont="1" applyBorder="1" applyAlignment="1">
      <alignment horizontal="center" vertical="center"/>
    </xf>
    <xf numFmtId="0" fontId="29" fillId="0" borderId="0" xfId="0" applyFont="1">
      <alignment vertical="center"/>
    </xf>
    <xf numFmtId="0" fontId="0" fillId="0" borderId="10" xfId="0" applyBorder="1" applyAlignment="1">
      <alignment horizontal="center" vertical="center"/>
    </xf>
    <xf numFmtId="0" fontId="29" fillId="0" borderId="6" xfId="0" applyFont="1" applyBorder="1" applyAlignment="1">
      <alignment horizontal="center" vertical="center" shrinkToFit="1"/>
    </xf>
    <xf numFmtId="0" fontId="0" fillId="0" borderId="5" xfId="0" applyBorder="1" applyAlignment="1">
      <alignment horizontal="center" vertical="center"/>
    </xf>
    <xf numFmtId="0" fontId="29" fillId="0" borderId="3" xfId="0" applyFont="1" applyBorder="1" applyAlignment="1">
      <alignment horizontal="center" vertical="center" shrinkToFit="1"/>
    </xf>
    <xf numFmtId="0" fontId="26" fillId="0" borderId="3" xfId="0" applyFont="1" applyBorder="1" applyAlignment="1">
      <alignment horizontal="center" vertical="center"/>
    </xf>
    <xf numFmtId="0" fontId="26" fillId="0" borderId="9" xfId="0" applyFont="1" applyBorder="1" applyAlignment="1">
      <alignment horizontal="center" vertical="center"/>
    </xf>
    <xf numFmtId="38" fontId="26" fillId="0" borderId="3" xfId="1" applyFont="1" applyBorder="1" applyAlignment="1">
      <alignment horizontal="center" vertical="center"/>
    </xf>
    <xf numFmtId="38" fontId="26" fillId="0" borderId="6" xfId="1" applyFont="1" applyBorder="1" applyAlignment="1">
      <alignment horizontal="center" vertical="center"/>
    </xf>
    <xf numFmtId="0" fontId="26" fillId="0" borderId="3" xfId="0" applyFont="1" applyBorder="1">
      <alignment vertical="center"/>
    </xf>
    <xf numFmtId="0" fontId="0" fillId="0" borderId="3" xfId="0" applyBorder="1">
      <alignment vertical="center"/>
    </xf>
    <xf numFmtId="38" fontId="30" fillId="0" borderId="4" xfId="1" applyFont="1" applyBorder="1" applyAlignment="1">
      <alignment horizontal="center" vertical="center"/>
    </xf>
    <xf numFmtId="38" fontId="0" fillId="0" borderId="4" xfId="1" applyFont="1" applyBorder="1" applyAlignment="1">
      <alignment vertical="center"/>
    </xf>
    <xf numFmtId="38" fontId="26" fillId="0" borderId="3" xfId="1" applyFont="1" applyBorder="1" applyAlignment="1">
      <alignment horizontal="right" vertical="center"/>
    </xf>
    <xf numFmtId="0" fontId="0" fillId="0" borderId="3" xfId="0" applyBorder="1" applyAlignment="1">
      <alignment horizontal="left" vertical="center"/>
    </xf>
    <xf numFmtId="38" fontId="29" fillId="0" borderId="3" xfId="1" applyFont="1" applyBorder="1" applyAlignment="1">
      <alignment horizontal="center" vertical="center"/>
    </xf>
    <xf numFmtId="0" fontId="30" fillId="0" borderId="0" xfId="0" applyFont="1">
      <alignment vertical="center"/>
    </xf>
    <xf numFmtId="0" fontId="26" fillId="0" borderId="9" xfId="0" applyFont="1" applyBorder="1">
      <alignment vertical="center"/>
    </xf>
    <xf numFmtId="0" fontId="26" fillId="0" borderId="7" xfId="0" applyFont="1" applyBorder="1">
      <alignment vertical="center"/>
    </xf>
    <xf numFmtId="0" fontId="31" fillId="0" borderId="0" xfId="0" applyFont="1">
      <alignment vertical="center"/>
    </xf>
    <xf numFmtId="6" fontId="26" fillId="0" borderId="0" xfId="2" applyFont="1" applyAlignment="1">
      <alignment horizontal="center" vertical="center"/>
    </xf>
    <xf numFmtId="0" fontId="0" fillId="0" borderId="16" xfId="0" applyBorder="1">
      <alignment vertical="center"/>
    </xf>
    <xf numFmtId="56" fontId="29" fillId="0" borderId="3" xfId="0" applyNumberFormat="1" applyFont="1" applyBorder="1" applyAlignment="1">
      <alignment horizontal="center" vertical="center"/>
    </xf>
    <xf numFmtId="56" fontId="0" fillId="0" borderId="3" xfId="0" applyNumberFormat="1" applyBorder="1" applyAlignment="1">
      <alignment horizontal="center" vertical="center"/>
    </xf>
    <xf numFmtId="0" fontId="0" fillId="0" borderId="1" xfId="0" applyBorder="1">
      <alignment vertical="center"/>
    </xf>
    <xf numFmtId="0" fontId="29" fillId="0" borderId="0" xfId="0" applyFont="1" applyAlignment="1">
      <alignment horizontal="center" vertical="center"/>
    </xf>
    <xf numFmtId="0" fontId="0" fillId="0" borderId="3" xfId="0" applyBorder="1" applyAlignment="1">
      <alignment horizontal="center" vertical="center" shrinkToFit="1"/>
    </xf>
    <xf numFmtId="56" fontId="0" fillId="0" borderId="3" xfId="0" applyNumberFormat="1" applyBorder="1" applyAlignment="1">
      <alignment horizontal="center" vertical="center" shrinkToFit="1"/>
    </xf>
    <xf numFmtId="56" fontId="0" fillId="0" borderId="3" xfId="0" applyNumberFormat="1" applyBorder="1" applyAlignment="1">
      <alignment horizontal="right" vertical="center"/>
    </xf>
    <xf numFmtId="56" fontId="0" fillId="0" borderId="3" xfId="0" applyNumberFormat="1" applyBorder="1" applyAlignment="1">
      <alignment horizontal="left" vertical="center"/>
    </xf>
    <xf numFmtId="0" fontId="0" fillId="0" borderId="9" xfId="0" applyBorder="1">
      <alignment vertical="center"/>
    </xf>
    <xf numFmtId="0" fontId="0" fillId="0" borderId="6" xfId="0" applyBorder="1" applyAlignment="1">
      <alignment horizontal="center" vertical="center"/>
    </xf>
    <xf numFmtId="0" fontId="0" fillId="0" borderId="7" xfId="0" applyBorder="1" applyAlignment="1">
      <alignment horizontal="center" vertical="center"/>
    </xf>
    <xf numFmtId="176" fontId="29" fillId="0" borderId="3" xfId="0" applyNumberFormat="1" applyFont="1" applyBorder="1" applyAlignment="1">
      <alignment horizontal="center" vertical="center"/>
    </xf>
    <xf numFmtId="0" fontId="0" fillId="0" borderId="15" xfId="0" applyBorder="1">
      <alignment vertical="center"/>
    </xf>
    <xf numFmtId="0" fontId="26" fillId="0" borderId="24" xfId="0" applyFont="1" applyBorder="1">
      <alignment vertical="center"/>
    </xf>
    <xf numFmtId="0" fontId="31" fillId="0" borderId="0" xfId="0" applyFont="1" applyAlignment="1">
      <alignment vertical="center" shrinkToFit="1"/>
    </xf>
    <xf numFmtId="0" fontId="0" fillId="0" borderId="14" xfId="0" applyBorder="1">
      <alignment vertical="center"/>
    </xf>
    <xf numFmtId="0" fontId="31" fillId="0" borderId="25" xfId="0" applyFont="1" applyBorder="1">
      <alignment vertical="center"/>
    </xf>
    <xf numFmtId="0" fontId="31" fillId="0" borderId="26" xfId="0" applyFont="1" applyBorder="1">
      <alignment vertical="center"/>
    </xf>
    <xf numFmtId="0" fontId="3" fillId="0" borderId="2" xfId="0" applyFont="1" applyBorder="1">
      <alignment vertical="center"/>
    </xf>
    <xf numFmtId="0" fontId="26" fillId="0" borderId="12" xfId="0" applyFont="1" applyBorder="1">
      <alignment vertical="center"/>
    </xf>
    <xf numFmtId="0" fontId="29" fillId="0" borderId="3" xfId="0" applyFont="1" applyBorder="1">
      <alignment vertical="center"/>
    </xf>
    <xf numFmtId="0" fontId="0" fillId="0" borderId="13" xfId="0" applyBorder="1">
      <alignment vertical="center"/>
    </xf>
    <xf numFmtId="0" fontId="26" fillId="0" borderId="16" xfId="0" applyFont="1" applyBorder="1">
      <alignment vertical="center"/>
    </xf>
    <xf numFmtId="0" fontId="32" fillId="0" borderId="3" xfId="0" applyFont="1" applyBorder="1" applyAlignment="1">
      <alignment horizontal="center" vertical="center"/>
    </xf>
    <xf numFmtId="0" fontId="32" fillId="0" borderId="4" xfId="0" applyFont="1" applyBorder="1" applyAlignment="1">
      <alignment horizontal="center" vertical="center"/>
    </xf>
    <xf numFmtId="0" fontId="32" fillId="0" borderId="3" xfId="0" applyFont="1" applyBorder="1">
      <alignment vertical="center"/>
    </xf>
    <xf numFmtId="56" fontId="26" fillId="0" borderId="3" xfId="0" applyNumberFormat="1" applyFont="1" applyBorder="1" applyAlignment="1">
      <alignment horizontal="center" vertical="center"/>
    </xf>
    <xf numFmtId="0" fontId="30" fillId="0" borderId="3" xfId="0" applyFont="1" applyBorder="1">
      <alignment vertical="center"/>
    </xf>
    <xf numFmtId="56" fontId="32" fillId="0" borderId="3" xfId="0" applyNumberFormat="1" applyFont="1" applyBorder="1" applyAlignment="1">
      <alignment horizontal="center" vertical="center"/>
    </xf>
    <xf numFmtId="0" fontId="32" fillId="0" borderId="3" xfId="0" applyFont="1" applyBorder="1" applyAlignment="1">
      <alignment horizontal="center" vertical="center" shrinkToFit="1"/>
    </xf>
    <xf numFmtId="0" fontId="29" fillId="0" borderId="9" xfId="0" applyFont="1" applyBorder="1">
      <alignment vertical="center"/>
    </xf>
    <xf numFmtId="0" fontId="33" fillId="0" borderId="6" xfId="0" applyFont="1" applyBorder="1" applyAlignment="1">
      <alignment horizontal="center" vertical="center"/>
    </xf>
    <xf numFmtId="0" fontId="30" fillId="0" borderId="7" xfId="0" applyFont="1" applyBorder="1" applyAlignment="1">
      <alignment horizontal="center" vertical="center"/>
    </xf>
    <xf numFmtId="0" fontId="30" fillId="0" borderId="3" xfId="0" applyFont="1" applyBorder="1" applyAlignment="1">
      <alignment horizontal="center" vertical="center"/>
    </xf>
    <xf numFmtId="0" fontId="32" fillId="0" borderId="7" xfId="0" applyFont="1" applyBorder="1">
      <alignment vertical="center"/>
    </xf>
    <xf numFmtId="0" fontId="32" fillId="0" borderId="8" xfId="0" applyFont="1" applyBorder="1">
      <alignment vertical="center"/>
    </xf>
    <xf numFmtId="38" fontId="6" fillId="4" borderId="3" xfId="1" applyFont="1" applyFill="1" applyBorder="1" applyAlignment="1">
      <alignment horizontal="right" vertical="center"/>
    </xf>
    <xf numFmtId="6" fontId="7" fillId="0" borderId="0" xfId="0" applyNumberFormat="1" applyFont="1">
      <alignment vertical="center"/>
    </xf>
    <xf numFmtId="38" fontId="6" fillId="4" borderId="3" xfId="1" applyFont="1" applyFill="1" applyBorder="1">
      <alignment vertical="center"/>
    </xf>
    <xf numFmtId="0" fontId="5" fillId="4" borderId="3" xfId="0" applyFont="1" applyFill="1" applyBorder="1">
      <alignment vertical="center"/>
    </xf>
    <xf numFmtId="38" fontId="5" fillId="4" borderId="3" xfId="1" applyFont="1" applyFill="1" applyBorder="1" applyAlignment="1">
      <alignment horizontal="right" vertical="center"/>
    </xf>
    <xf numFmtId="38" fontId="5" fillId="4" borderId="3" xfId="1" applyFont="1" applyFill="1" applyBorder="1">
      <alignment vertical="center"/>
    </xf>
    <xf numFmtId="0" fontId="35" fillId="0" borderId="0" xfId="0" applyFont="1">
      <alignment vertical="center"/>
    </xf>
    <xf numFmtId="0" fontId="36" fillId="0" borderId="0" xfId="0" applyFont="1" applyAlignment="1">
      <alignment horizontal="center" vertical="center"/>
    </xf>
    <xf numFmtId="0" fontId="35" fillId="0" borderId="3" xfId="0" applyFont="1" applyBorder="1" applyAlignment="1">
      <alignment horizontal="center" vertical="center"/>
    </xf>
    <xf numFmtId="0" fontId="27" fillId="0" borderId="0" xfId="0" applyFont="1">
      <alignment vertical="center"/>
    </xf>
    <xf numFmtId="0" fontId="40" fillId="0" borderId="3" xfId="0" applyFont="1" applyBorder="1" applyAlignment="1">
      <alignment horizontal="center" vertical="center"/>
    </xf>
    <xf numFmtId="0" fontId="27" fillId="0" borderId="3" xfId="0" applyFont="1" applyBorder="1" applyAlignment="1">
      <alignment horizontal="center" vertical="center"/>
    </xf>
    <xf numFmtId="0" fontId="40" fillId="0" borderId="0" xfId="0" applyFont="1">
      <alignment vertical="center"/>
    </xf>
    <xf numFmtId="0" fontId="42" fillId="0" borderId="3" xfId="0" applyFont="1" applyBorder="1">
      <alignment vertical="center"/>
    </xf>
    <xf numFmtId="0" fontId="0" fillId="0" borderId="0" xfId="0" applyAlignment="1">
      <alignment vertical="center" shrinkToFit="1"/>
    </xf>
    <xf numFmtId="0" fontId="42" fillId="0" borderId="0" xfId="0" applyFont="1">
      <alignment vertical="center"/>
    </xf>
    <xf numFmtId="0" fontId="41" fillId="0" borderId="3" xfId="0" applyFont="1" applyBorder="1" applyAlignment="1">
      <alignment horizontal="center" vertical="center"/>
    </xf>
    <xf numFmtId="0" fontId="38" fillId="0" borderId="0" xfId="0" applyFont="1">
      <alignment vertical="center"/>
    </xf>
    <xf numFmtId="0" fontId="27" fillId="0" borderId="9" xfId="0" applyFont="1" applyBorder="1">
      <alignment vertical="center"/>
    </xf>
    <xf numFmtId="0" fontId="46" fillId="0" borderId="0" xfId="0" applyFont="1">
      <alignment vertical="center"/>
    </xf>
    <xf numFmtId="0" fontId="36" fillId="0" borderId="0" xfId="0" applyFont="1">
      <alignment vertical="center"/>
    </xf>
    <xf numFmtId="38" fontId="36" fillId="0" borderId="3" xfId="1" applyFont="1" applyBorder="1" applyAlignment="1">
      <alignment horizontal="right" vertical="center"/>
    </xf>
    <xf numFmtId="0" fontId="27" fillId="0" borderId="1" xfId="0" applyFont="1" applyBorder="1">
      <alignment vertical="center"/>
    </xf>
    <xf numFmtId="0" fontId="27" fillId="0" borderId="2" xfId="0" applyFont="1" applyBorder="1">
      <alignment vertical="center"/>
    </xf>
    <xf numFmtId="0" fontId="35" fillId="0" borderId="2" xfId="0" applyFont="1" applyBorder="1">
      <alignment vertical="center"/>
    </xf>
    <xf numFmtId="0" fontId="27" fillId="0" borderId="2" xfId="0" applyFont="1" applyBorder="1" applyAlignment="1">
      <alignment horizontal="center" vertical="center"/>
    </xf>
    <xf numFmtId="0" fontId="38" fillId="0" borderId="3" xfId="0" applyFont="1" applyBorder="1" applyAlignment="1">
      <alignment horizontal="center" vertical="center"/>
    </xf>
    <xf numFmtId="0" fontId="48" fillId="0" borderId="0" xfId="0" applyFont="1">
      <alignment vertical="center"/>
    </xf>
    <xf numFmtId="0" fontId="42" fillId="0" borderId="3" xfId="0" applyFont="1" applyBorder="1" applyAlignment="1">
      <alignment horizontal="center" vertical="center"/>
    </xf>
    <xf numFmtId="0" fontId="49" fillId="0" borderId="0" xfId="0" applyFont="1">
      <alignment vertical="center"/>
    </xf>
    <xf numFmtId="38" fontId="43" fillId="0" borderId="0" xfId="1" applyFont="1">
      <alignment vertical="center"/>
    </xf>
    <xf numFmtId="0" fontId="41" fillId="0" borderId="0" xfId="0" applyFont="1">
      <alignment vertical="center"/>
    </xf>
    <xf numFmtId="0" fontId="50" fillId="0" borderId="0" xfId="0" applyFont="1">
      <alignment vertical="center"/>
    </xf>
    <xf numFmtId="0" fontId="51" fillId="0" borderId="0" xfId="0" applyFont="1">
      <alignment vertical="center"/>
    </xf>
    <xf numFmtId="56" fontId="5" fillId="0" borderId="3" xfId="0" applyNumberFormat="1" applyFont="1" applyBorder="1" applyAlignment="1">
      <alignment horizontal="center" vertical="center"/>
    </xf>
    <xf numFmtId="0" fontId="8" fillId="0" borderId="4" xfId="0" applyFont="1" applyBorder="1">
      <alignment vertical="center"/>
    </xf>
    <xf numFmtId="0" fontId="8" fillId="0" borderId="2" xfId="0" applyFont="1" applyBorder="1">
      <alignment vertical="center"/>
    </xf>
    <xf numFmtId="0" fontId="8" fillId="0" borderId="5" xfId="0" applyFont="1" applyBorder="1">
      <alignment vertical="center"/>
    </xf>
    <xf numFmtId="0" fontId="5" fillId="0" borderId="4" xfId="0" applyFont="1" applyBorder="1" applyAlignment="1">
      <alignment horizontal="left" vertical="center"/>
    </xf>
    <xf numFmtId="0" fontId="0" fillId="0" borderId="4" xfId="0" applyBorder="1" applyAlignment="1">
      <alignment horizontal="left" vertical="center"/>
    </xf>
    <xf numFmtId="0" fontId="8" fillId="0" borderId="2" xfId="0" applyFont="1" applyBorder="1" applyAlignment="1">
      <alignment horizontal="left" vertical="center"/>
    </xf>
    <xf numFmtId="0" fontId="15" fillId="0" borderId="4" xfId="0" applyFont="1" applyBorder="1" applyAlignment="1">
      <alignment horizontal="left" vertical="center"/>
    </xf>
    <xf numFmtId="0" fontId="30" fillId="0" borderId="0" xfId="0" applyFont="1" applyAlignment="1">
      <alignment horizontal="center" vertical="center"/>
    </xf>
    <xf numFmtId="0" fontId="27" fillId="0" borderId="0" xfId="0" applyFont="1" applyAlignment="1">
      <alignment horizontal="center" vertical="center"/>
    </xf>
    <xf numFmtId="0" fontId="4" fillId="0" borderId="4" xfId="0" applyFont="1" applyBorder="1" applyAlignment="1">
      <alignment horizontal="left" vertical="center" shrinkToFit="1"/>
    </xf>
    <xf numFmtId="0" fontId="8" fillId="0" borderId="2" xfId="0" applyFont="1" applyBorder="1" applyAlignment="1">
      <alignment horizontal="left" vertical="center" shrinkToFit="1"/>
    </xf>
    <xf numFmtId="0" fontId="8" fillId="0" borderId="0" xfId="0" applyFont="1" applyAlignment="1">
      <alignment horizontal="left" vertical="center" shrinkToFit="1"/>
    </xf>
    <xf numFmtId="0" fontId="4" fillId="0" borderId="11" xfId="0" applyFont="1" applyBorder="1" applyAlignment="1">
      <alignment horizontal="left" vertical="center" shrinkToFit="1"/>
    </xf>
    <xf numFmtId="0" fontId="23" fillId="0" borderId="9" xfId="0" applyFont="1" applyBorder="1" applyAlignment="1">
      <alignment horizontal="left" vertical="center"/>
    </xf>
    <xf numFmtId="0" fontId="8" fillId="0" borderId="9" xfId="0" applyFont="1" applyBorder="1" applyAlignment="1">
      <alignment horizontal="left" vertical="center"/>
    </xf>
    <xf numFmtId="0" fontId="8" fillId="0" borderId="9" xfId="0" applyFont="1" applyBorder="1" applyAlignment="1">
      <alignment horizontal="left" vertical="center" shrinkToFit="1"/>
    </xf>
    <xf numFmtId="0" fontId="5" fillId="0" borderId="11" xfId="0" applyFont="1" applyBorder="1" applyAlignment="1">
      <alignment horizontal="left" vertical="center" shrinkToFit="1"/>
    </xf>
    <xf numFmtId="0" fontId="5" fillId="0" borderId="4" xfId="0" applyFont="1" applyBorder="1" applyAlignment="1">
      <alignment horizontal="left" vertical="center" shrinkToFit="1"/>
    </xf>
    <xf numFmtId="0" fontId="3" fillId="0" borderId="11" xfId="0" applyFont="1" applyBorder="1" applyAlignment="1">
      <alignment horizontal="left" vertical="center" shrinkToFit="1"/>
    </xf>
    <xf numFmtId="0" fontId="5" fillId="3" borderId="11" xfId="0" applyFont="1" applyFill="1" applyBorder="1" applyAlignment="1">
      <alignment horizontal="left" vertical="center" shrinkToFit="1"/>
    </xf>
    <xf numFmtId="0" fontId="8" fillId="3" borderId="9" xfId="0" applyFont="1" applyFill="1" applyBorder="1" applyAlignment="1">
      <alignment horizontal="left" vertical="center" shrinkToFit="1"/>
    </xf>
    <xf numFmtId="0" fontId="3" fillId="3" borderId="2" xfId="0" applyFont="1" applyFill="1" applyBorder="1" applyAlignment="1">
      <alignment horizontal="left" vertical="center" shrinkToFit="1"/>
    </xf>
    <xf numFmtId="0" fontId="8" fillId="3" borderId="2" xfId="0" applyFont="1" applyFill="1" applyBorder="1" applyAlignment="1">
      <alignment horizontal="left" vertical="center" shrinkToFit="1"/>
    </xf>
    <xf numFmtId="0" fontId="8" fillId="3" borderId="9" xfId="0" applyFont="1" applyFill="1" applyBorder="1" applyAlignment="1">
      <alignment horizontal="left" vertical="center"/>
    </xf>
    <xf numFmtId="0" fontId="5" fillId="3" borderId="4" xfId="0" applyFont="1" applyFill="1" applyBorder="1" applyAlignment="1">
      <alignment horizontal="left" vertical="center" shrinkToFit="1"/>
    </xf>
    <xf numFmtId="0" fontId="5" fillId="3" borderId="4" xfId="0" applyFont="1" applyFill="1" applyBorder="1" applyAlignment="1">
      <alignment horizontal="left" vertical="center"/>
    </xf>
    <xf numFmtId="0" fontId="3" fillId="0" borderId="3" xfId="0" applyFont="1" applyBorder="1" applyAlignment="1">
      <alignment horizontal="left" vertical="center" shrinkToFit="1"/>
    </xf>
    <xf numFmtId="0" fontId="8" fillId="0" borderId="3" xfId="0" applyFont="1" applyBorder="1" applyAlignment="1">
      <alignment horizontal="left" vertical="center" shrinkToFit="1"/>
    </xf>
    <xf numFmtId="0" fontId="29" fillId="0" borderId="1" xfId="0" applyFont="1" applyBorder="1" applyAlignment="1">
      <alignment horizontal="center" vertical="center"/>
    </xf>
    <xf numFmtId="38" fontId="26" fillId="0" borderId="4" xfId="1" applyFont="1" applyBorder="1" applyAlignment="1">
      <alignment horizontal="center" vertical="center"/>
    </xf>
    <xf numFmtId="38" fontId="26" fillId="0" borderId="11" xfId="1" applyFont="1" applyBorder="1" applyAlignment="1">
      <alignment horizontal="right" vertical="center"/>
    </xf>
    <xf numFmtId="38" fontId="26" fillId="0" borderId="4" xfId="1" applyFont="1" applyBorder="1" applyAlignment="1">
      <alignment horizontal="right" vertical="center"/>
    </xf>
    <xf numFmtId="0" fontId="4" fillId="0" borderId="9" xfId="0" applyFont="1" applyBorder="1">
      <alignment vertical="center"/>
    </xf>
    <xf numFmtId="0" fontId="5" fillId="0" borderId="2" xfId="0" applyFont="1" applyBorder="1" applyAlignment="1">
      <alignment horizontal="left" vertical="center" shrinkToFit="1"/>
    </xf>
    <xf numFmtId="0" fontId="3" fillId="0" borderId="9" xfId="0" applyFont="1" applyBorder="1" applyAlignment="1">
      <alignment horizontal="left" vertical="center" shrinkToFit="1"/>
    </xf>
    <xf numFmtId="0" fontId="18" fillId="0" borderId="2" xfId="0" applyFont="1" applyBorder="1" applyAlignment="1">
      <alignment horizontal="left" vertical="center"/>
    </xf>
    <xf numFmtId="0" fontId="5" fillId="0" borderId="9" xfId="0" applyFont="1" applyBorder="1" applyAlignment="1">
      <alignment horizontal="left" vertical="center" shrinkToFit="1"/>
    </xf>
    <xf numFmtId="0" fontId="0" fillId="0" borderId="2" xfId="0" applyBorder="1">
      <alignment vertical="center"/>
    </xf>
    <xf numFmtId="0" fontId="3" fillId="0" borderId="0" xfId="0" applyFont="1" applyAlignment="1">
      <alignment horizontal="left" vertical="center" shrinkToFit="1"/>
    </xf>
    <xf numFmtId="0" fontId="4" fillId="0" borderId="2" xfId="0" applyFont="1" applyBorder="1" applyAlignment="1">
      <alignment horizontal="left" vertical="center" shrinkToFit="1"/>
    </xf>
    <xf numFmtId="0" fontId="4" fillId="0" borderId="9" xfId="0" applyFont="1" applyBorder="1" applyAlignment="1">
      <alignment horizontal="left" vertical="center" shrinkToFit="1"/>
    </xf>
    <xf numFmtId="0" fontId="4" fillId="0" borderId="1" xfId="0" applyFont="1" applyBorder="1">
      <alignment vertical="center"/>
    </xf>
    <xf numFmtId="0" fontId="3" fillId="0" borderId="4" xfId="0" applyFont="1" applyBorder="1">
      <alignment vertical="center"/>
    </xf>
    <xf numFmtId="0" fontId="18" fillId="0" borderId="2" xfId="0" applyFont="1" applyBorder="1">
      <alignment vertical="center"/>
    </xf>
    <xf numFmtId="0" fontId="5" fillId="0" borderId="2" xfId="0" applyFont="1" applyBorder="1" applyAlignment="1">
      <alignment horizontal="left" vertical="center"/>
    </xf>
    <xf numFmtId="0" fontId="15" fillId="0" borderId="2" xfId="0" applyFont="1" applyBorder="1" applyAlignment="1">
      <alignment horizontal="left" vertical="center"/>
    </xf>
    <xf numFmtId="0" fontId="0" fillId="0" borderId="2" xfId="0" applyBorder="1" applyAlignment="1">
      <alignment horizontal="left" vertical="center"/>
    </xf>
    <xf numFmtId="0" fontId="0" fillId="0" borderId="0" xfId="0" applyAlignment="1">
      <alignment horizontal="left" vertical="center"/>
    </xf>
    <xf numFmtId="0" fontId="5" fillId="0" borderId="2" xfId="0" applyFont="1" applyBorder="1">
      <alignment vertical="center"/>
    </xf>
    <xf numFmtId="38" fontId="15" fillId="3" borderId="5" xfId="1" applyFont="1" applyFill="1" applyBorder="1" applyAlignment="1">
      <alignment horizontal="right"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left" vertical="center"/>
    </xf>
    <xf numFmtId="0" fontId="0" fillId="0" borderId="2" xfId="0" applyBorder="1" applyAlignment="1">
      <alignment horizontal="left" vertical="center"/>
    </xf>
    <xf numFmtId="0" fontId="8" fillId="0" borderId="2" xfId="0" applyFont="1" applyBorder="1" applyAlignment="1">
      <alignment horizontal="left" vertical="center"/>
    </xf>
    <xf numFmtId="0" fontId="8" fillId="0" borderId="5" xfId="0" applyFont="1" applyBorder="1" applyAlignment="1">
      <alignment horizontal="left" vertical="center"/>
    </xf>
    <xf numFmtId="0" fontId="5" fillId="0" borderId="4" xfId="0" applyFont="1" applyBorder="1" applyAlignment="1">
      <alignment horizontal="left" vertical="center"/>
    </xf>
    <xf numFmtId="0" fontId="5" fillId="0" borderId="2" xfId="0" applyFont="1" applyBorder="1" applyAlignment="1">
      <alignment horizontal="left" vertical="center"/>
    </xf>
    <xf numFmtId="0" fontId="5" fillId="0" borderId="5" xfId="0" applyFont="1" applyBorder="1" applyAlignment="1">
      <alignment horizontal="lef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5" xfId="0" applyFont="1" applyBorder="1" applyAlignment="1">
      <alignment horizontal="left" vertical="center"/>
    </xf>
    <xf numFmtId="56" fontId="8" fillId="0" borderId="4" xfId="0" applyNumberFormat="1" applyFont="1" applyBorder="1" applyAlignment="1">
      <alignment horizontal="left" vertical="center"/>
    </xf>
    <xf numFmtId="56" fontId="8" fillId="0" borderId="2" xfId="0" applyNumberFormat="1" applyFont="1" applyBorder="1" applyAlignment="1">
      <alignment horizontal="left" vertical="center"/>
    </xf>
    <xf numFmtId="56" fontId="8" fillId="0" borderId="5" xfId="0" applyNumberFormat="1" applyFont="1" applyBorder="1" applyAlignment="1">
      <alignment horizontal="left" vertical="center"/>
    </xf>
    <xf numFmtId="0" fontId="5" fillId="0" borderId="2" xfId="0" applyFont="1" applyBorder="1" applyAlignment="1">
      <alignment horizontal="center" vertical="center"/>
    </xf>
    <xf numFmtId="0" fontId="5" fillId="0" borderId="5" xfId="0" applyFont="1" applyBorder="1" applyAlignment="1">
      <alignment horizontal="center" vertical="center"/>
    </xf>
    <xf numFmtId="0" fontId="6" fillId="0" borderId="2" xfId="0" applyFont="1" applyBorder="1" applyAlignment="1">
      <alignment horizontal="center" vertical="center"/>
    </xf>
    <xf numFmtId="0" fontId="6" fillId="0" borderId="5" xfId="0" applyFont="1" applyBorder="1" applyAlignment="1">
      <alignment horizontal="center" vertical="center"/>
    </xf>
    <xf numFmtId="0" fontId="15" fillId="0" borderId="2" xfId="0" applyFont="1" applyBorder="1" applyAlignment="1">
      <alignment horizontal="left" vertical="center"/>
    </xf>
    <xf numFmtId="0" fontId="5" fillId="0" borderId="4" xfId="0" applyFont="1" applyBorder="1" applyAlignment="1">
      <alignment horizontal="center" vertical="center"/>
    </xf>
    <xf numFmtId="0" fontId="8" fillId="2" borderId="2" xfId="0" applyFont="1" applyFill="1" applyBorder="1" applyAlignment="1">
      <alignment horizontal="left" vertical="center"/>
    </xf>
    <xf numFmtId="0" fontId="8" fillId="2" borderId="5" xfId="0" applyFont="1" applyFill="1" applyBorder="1" applyAlignment="1">
      <alignment horizontal="left" vertical="center"/>
    </xf>
    <xf numFmtId="0" fontId="5" fillId="2" borderId="4" xfId="0" applyFont="1" applyFill="1" applyBorder="1" applyAlignment="1">
      <alignment horizontal="left" vertical="center"/>
    </xf>
    <xf numFmtId="0" fontId="5" fillId="2" borderId="2" xfId="0" applyFont="1" applyFill="1" applyBorder="1" applyAlignment="1">
      <alignment horizontal="left" vertical="center"/>
    </xf>
    <xf numFmtId="0" fontId="2" fillId="2" borderId="2" xfId="0" applyFont="1" applyFill="1" applyBorder="1" applyAlignment="1">
      <alignment horizontal="left" vertical="center"/>
    </xf>
    <xf numFmtId="0" fontId="2" fillId="0" borderId="0" xfId="0" applyFont="1" applyAlignment="1">
      <alignment horizontal="left" vertical="center"/>
    </xf>
    <xf numFmtId="0" fontId="8" fillId="0" borderId="0" xfId="0" applyFont="1" applyAlignment="1">
      <alignment horizontal="left"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6" fontId="19" fillId="0" borderId="4" xfId="0" applyNumberFormat="1" applyFont="1" applyBorder="1" applyAlignment="1">
      <alignment horizontal="left" vertical="center"/>
    </xf>
    <xf numFmtId="6" fontId="19" fillId="0" borderId="5" xfId="0" applyNumberFormat="1" applyFont="1" applyBorder="1" applyAlignment="1">
      <alignment horizontal="left" vertical="center"/>
    </xf>
    <xf numFmtId="0" fontId="15" fillId="0" borderId="0" xfId="0" applyFont="1">
      <alignment vertical="center"/>
    </xf>
    <xf numFmtId="0" fontId="16" fillId="0" borderId="0" xfId="0" applyFont="1" applyAlignment="1">
      <alignment horizontal="center" vertical="center"/>
    </xf>
    <xf numFmtId="0" fontId="8" fillId="0" borderId="4" xfId="0" applyFont="1" applyBorder="1" applyAlignment="1">
      <alignment horizontal="left" vertical="center"/>
    </xf>
    <xf numFmtId="0" fontId="8" fillId="0" borderId="3" xfId="0" applyFont="1" applyBorder="1">
      <alignment vertical="center"/>
    </xf>
    <xf numFmtId="0" fontId="25" fillId="0" borderId="0" xfId="0" applyFont="1" applyAlignment="1">
      <alignment horizontal="center" vertical="center"/>
    </xf>
    <xf numFmtId="0" fontId="5" fillId="0" borderId="1" xfId="0" applyFont="1" applyBorder="1" applyAlignment="1">
      <alignment horizontal="center" vertical="center"/>
    </xf>
    <xf numFmtId="0" fontId="4" fillId="0" borderId="4" xfId="0" applyFont="1" applyBorder="1" applyAlignment="1">
      <alignment horizontal="left" vertical="center"/>
    </xf>
    <xf numFmtId="0" fontId="4" fillId="0" borderId="2" xfId="0" applyFont="1" applyBorder="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5" fillId="0" borderId="1" xfId="0" applyFont="1" applyBorder="1" applyAlignment="1">
      <alignment horizontal="left" vertical="center"/>
    </xf>
    <xf numFmtId="0" fontId="13" fillId="0" borderId="0" xfId="0" applyFont="1">
      <alignment vertical="center"/>
    </xf>
    <xf numFmtId="0" fontId="4" fillId="0" borderId="1" xfId="0" applyFont="1" applyBorder="1" applyAlignment="1">
      <alignment horizontal="center" vertical="center"/>
    </xf>
    <xf numFmtId="0" fontId="3" fillId="0" borderId="0" xfId="0" applyFont="1">
      <alignment vertical="center"/>
    </xf>
    <xf numFmtId="0" fontId="4" fillId="0" borderId="2" xfId="0" applyFont="1" applyBorder="1" applyAlignment="1">
      <alignment horizontal="center" vertical="center"/>
    </xf>
    <xf numFmtId="0" fontId="3" fillId="0" borderId="2" xfId="0" applyFont="1" applyBorder="1" applyAlignment="1">
      <alignment horizontal="center" vertical="center"/>
    </xf>
    <xf numFmtId="0" fontId="18" fillId="0" borderId="4" xfId="0" applyFont="1" applyBorder="1" applyAlignment="1">
      <alignment horizontal="center" vertical="center"/>
    </xf>
    <xf numFmtId="0" fontId="18" fillId="0" borderId="2" xfId="0" applyFont="1" applyBorder="1" applyAlignment="1">
      <alignment horizontal="center" vertical="center"/>
    </xf>
    <xf numFmtId="0" fontId="18" fillId="0" borderId="5" xfId="0" applyFont="1" applyBorder="1" applyAlignment="1">
      <alignment horizontal="center" vertical="center"/>
    </xf>
    <xf numFmtId="0" fontId="9" fillId="0" borderId="1" xfId="0" applyFont="1" applyBorder="1" applyAlignment="1">
      <alignment horizontal="center" vertical="center"/>
    </xf>
    <xf numFmtId="0" fontId="3" fillId="0" borderId="0" xfId="0" applyFont="1" applyAlignment="1">
      <alignment horizontal="center" vertical="center"/>
    </xf>
    <xf numFmtId="0" fontId="18" fillId="0" borderId="0" xfId="0" applyFont="1" applyAlignment="1">
      <alignment horizontal="center" vertical="center"/>
    </xf>
    <xf numFmtId="0" fontId="3" fillId="0" borderId="4" xfId="0" applyFont="1" applyBorder="1" applyAlignment="1">
      <alignment horizontal="left" vertical="center" shrinkToFit="1"/>
    </xf>
    <xf numFmtId="0" fontId="3" fillId="0" borderId="2" xfId="0" applyFont="1" applyBorder="1" applyAlignment="1">
      <alignment horizontal="left" vertical="center" shrinkToFit="1"/>
    </xf>
    <xf numFmtId="0" fontId="12" fillId="0" borderId="0" xfId="0" applyFont="1" applyAlignment="1">
      <alignment horizontal="center" vertical="center"/>
    </xf>
    <xf numFmtId="0" fontId="13" fillId="0" borderId="0" xfId="0" applyFont="1" applyAlignment="1">
      <alignment horizontal="left" vertical="center"/>
    </xf>
    <xf numFmtId="0" fontId="17" fillId="0" borderId="0" xfId="0" applyFont="1" applyAlignment="1">
      <alignment horizontal="left" vertical="center"/>
    </xf>
    <xf numFmtId="0" fontId="11" fillId="0" borderId="6" xfId="0" applyFont="1" applyBorder="1" applyAlignment="1">
      <alignment horizontal="center" vertical="center" textRotation="255"/>
    </xf>
    <xf numFmtId="0" fontId="5" fillId="0" borderId="7" xfId="0" applyFont="1" applyBorder="1" applyAlignment="1">
      <alignment vertical="center" textRotation="255"/>
    </xf>
    <xf numFmtId="0" fontId="5" fillId="0" borderId="8" xfId="0" applyFont="1" applyBorder="1" applyAlignment="1">
      <alignment vertical="center" textRotation="255"/>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6" fontId="7" fillId="0" borderId="4" xfId="0" applyNumberFormat="1" applyFont="1" applyBorder="1" applyAlignment="1">
      <alignment horizontal="left" vertical="center"/>
    </xf>
    <xf numFmtId="6" fontId="7" fillId="0" borderId="2" xfId="0" applyNumberFormat="1" applyFont="1" applyBorder="1" applyAlignment="1">
      <alignment horizontal="left" vertical="center"/>
    </xf>
    <xf numFmtId="6" fontId="7" fillId="0" borderId="5" xfId="0" applyNumberFormat="1"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center" vertical="center" shrinkToFit="1"/>
    </xf>
    <xf numFmtId="0" fontId="3" fillId="0" borderId="1" xfId="0" applyFont="1" applyBorder="1">
      <alignment vertical="center"/>
    </xf>
    <xf numFmtId="0" fontId="4" fillId="0" borderId="0" xfId="0" applyFont="1" applyAlignment="1">
      <alignment horizontal="center" vertical="center"/>
    </xf>
    <xf numFmtId="0" fontId="5" fillId="0" borderId="2" xfId="0" applyFont="1" applyBorder="1" applyAlignment="1">
      <alignment horizontal="left" vertical="center" shrinkToFit="1"/>
    </xf>
    <xf numFmtId="0" fontId="5" fillId="0" borderId="5" xfId="0" applyFont="1" applyBorder="1" applyAlignment="1">
      <alignment horizontal="left" vertical="center" shrinkToFit="1"/>
    </xf>
    <xf numFmtId="0" fontId="0" fillId="0" borderId="1" xfId="0" applyBorder="1" applyAlignment="1">
      <alignment horizontal="left" vertical="center"/>
    </xf>
    <xf numFmtId="0" fontId="6" fillId="0" borderId="1" xfId="0" applyFont="1" applyBorder="1" applyAlignment="1">
      <alignment horizontal="left" vertical="center"/>
    </xf>
    <xf numFmtId="0" fontId="0" fillId="0" borderId="11" xfId="0" applyBorder="1" applyAlignment="1">
      <alignment horizontal="center" vertical="center"/>
    </xf>
    <xf numFmtId="0" fontId="6" fillId="0" borderId="9" xfId="0" applyFont="1" applyBorder="1" applyAlignment="1">
      <alignment horizontal="center" vertical="center"/>
    </xf>
    <xf numFmtId="0" fontId="0" fillId="0" borderId="3" xfId="0" applyBorder="1" applyAlignment="1">
      <alignment horizontal="center" vertical="center"/>
    </xf>
    <xf numFmtId="0" fontId="6" fillId="0" borderId="3" xfId="0" applyFont="1" applyBorder="1" applyAlignment="1">
      <alignment horizontal="center" vertical="center"/>
    </xf>
    <xf numFmtId="0" fontId="29" fillId="0" borderId="4" xfId="0" applyFont="1" applyBorder="1" applyAlignment="1">
      <alignment horizontal="left" vertical="center"/>
    </xf>
    <xf numFmtId="0" fontId="29" fillId="0" borderId="2" xfId="0" applyFont="1" applyBorder="1" applyAlignment="1">
      <alignment horizontal="left" vertical="center"/>
    </xf>
    <xf numFmtId="0" fontId="29" fillId="0" borderId="5" xfId="0" applyFont="1" applyBorder="1" applyAlignment="1">
      <alignment horizontal="left" vertical="center"/>
    </xf>
    <xf numFmtId="0" fontId="29" fillId="0" borderId="3" xfId="0" applyFont="1" applyBorder="1" applyAlignment="1">
      <alignment horizontal="center" vertical="center"/>
    </xf>
    <xf numFmtId="0" fontId="29" fillId="0" borderId="3" xfId="0" applyFont="1" applyBorder="1">
      <alignment vertical="center"/>
    </xf>
    <xf numFmtId="0" fontId="29" fillId="0" borderId="11" xfId="0" applyFont="1" applyBorder="1" applyAlignment="1">
      <alignment horizontal="center" vertical="center"/>
    </xf>
    <xf numFmtId="0" fontId="29" fillId="0" borderId="9" xfId="0" applyFont="1" applyBorder="1" applyAlignment="1">
      <alignment horizontal="center" vertical="center"/>
    </xf>
    <xf numFmtId="0" fontId="29" fillId="0" borderId="10" xfId="0" applyFont="1" applyBorder="1" applyAlignment="1">
      <alignment horizontal="center" vertical="center"/>
    </xf>
    <xf numFmtId="0" fontId="29" fillId="0" borderId="8" xfId="0" applyFont="1" applyBorder="1" applyAlignment="1">
      <alignment horizontal="center" vertical="center"/>
    </xf>
    <xf numFmtId="0" fontId="26" fillId="0" borderId="3" xfId="0" applyFont="1" applyBorder="1" applyAlignment="1">
      <alignment horizontal="center" vertical="center"/>
    </xf>
    <xf numFmtId="0" fontId="27" fillId="0" borderId="0" xfId="0" applyFont="1" applyAlignment="1">
      <alignment horizontal="center" vertical="center"/>
    </xf>
    <xf numFmtId="0" fontId="26" fillId="0" borderId="11" xfId="0" applyFont="1" applyBorder="1" applyAlignment="1">
      <alignment horizontal="center" vertical="center"/>
    </xf>
    <xf numFmtId="0" fontId="26" fillId="0" borderId="9" xfId="0" applyFont="1" applyBorder="1">
      <alignment vertical="center"/>
    </xf>
    <xf numFmtId="0" fontId="26" fillId="0" borderId="10" xfId="0" applyFont="1" applyBorder="1">
      <alignment vertical="center"/>
    </xf>
    <xf numFmtId="0" fontId="0" fillId="0" borderId="11" xfId="0" applyBorder="1" applyAlignment="1">
      <alignment horizontal="center" vertical="center" textRotation="255"/>
    </xf>
    <xf numFmtId="0" fontId="26" fillId="0" borderId="15" xfId="0" applyFont="1" applyBorder="1">
      <alignment vertical="center"/>
    </xf>
    <xf numFmtId="0" fontId="26" fillId="0" borderId="0" xfId="0" applyFont="1">
      <alignment vertical="center"/>
    </xf>
    <xf numFmtId="0" fontId="26" fillId="0" borderId="13" xfId="0" applyFont="1" applyBorder="1">
      <alignment vertical="center"/>
    </xf>
    <xf numFmtId="0" fontId="26" fillId="0" borderId="14" xfId="0" applyFont="1" applyBorder="1">
      <alignment vertical="center"/>
    </xf>
    <xf numFmtId="0" fontId="26" fillId="0" borderId="1" xfId="0" applyFont="1" applyBorder="1">
      <alignment vertical="center"/>
    </xf>
    <xf numFmtId="0" fontId="26" fillId="0" borderId="12" xfId="0" applyFont="1" applyBorder="1">
      <alignment vertical="center"/>
    </xf>
    <xf numFmtId="0" fontId="30" fillId="0" borderId="0" xfId="0" applyFont="1" applyAlignment="1">
      <alignment horizontal="center" vertical="center"/>
    </xf>
    <xf numFmtId="0" fontId="26" fillId="0" borderId="9" xfId="0" applyFont="1" applyBorder="1" applyAlignment="1">
      <alignment horizontal="center" vertical="center"/>
    </xf>
    <xf numFmtId="0" fontId="26" fillId="0" borderId="0" xfId="0" applyFont="1" applyAlignment="1">
      <alignment horizontal="center" vertical="center"/>
    </xf>
    <xf numFmtId="0" fontId="26" fillId="0" borderId="4" xfId="0" applyFont="1" applyBorder="1" applyAlignment="1">
      <alignment horizontal="center" vertical="center"/>
    </xf>
    <xf numFmtId="0" fontId="26" fillId="0" borderId="2" xfId="0" applyFont="1" applyBorder="1" applyAlignment="1">
      <alignment horizontal="center" vertical="center"/>
    </xf>
    <xf numFmtId="0" fontId="26" fillId="0" borderId="5" xfId="0" applyFont="1" applyBorder="1" applyAlignment="1">
      <alignment horizontal="center" vertical="center"/>
    </xf>
    <xf numFmtId="0" fontId="29" fillId="0" borderId="4" xfId="0" applyFont="1" applyBorder="1" applyAlignment="1">
      <alignment horizontal="center" vertical="center"/>
    </xf>
    <xf numFmtId="0" fontId="29" fillId="0" borderId="5" xfId="0" applyFont="1" applyBorder="1" applyAlignment="1">
      <alignment horizontal="center" vertical="center"/>
    </xf>
    <xf numFmtId="0" fontId="0" fillId="0" borderId="14" xfId="0" applyBorder="1" applyAlignment="1">
      <alignment horizontal="center" vertical="center"/>
    </xf>
    <xf numFmtId="0" fontId="26" fillId="0" borderId="1" xfId="0" applyFont="1" applyBorder="1" applyAlignment="1">
      <alignment horizontal="center" vertical="center"/>
    </xf>
    <xf numFmtId="0" fontId="31" fillId="0" borderId="0" xfId="0" applyFont="1" applyAlignment="1">
      <alignment horizontal="left" vertical="center"/>
    </xf>
    <xf numFmtId="0" fontId="0" fillId="0" borderId="1" xfId="0" applyBorder="1">
      <alignment vertical="center"/>
    </xf>
    <xf numFmtId="0" fontId="0" fillId="0" borderId="0" xfId="0">
      <alignment vertical="center"/>
    </xf>
    <xf numFmtId="0" fontId="29" fillId="0" borderId="15" xfId="0" applyFont="1" applyBorder="1" applyAlignment="1">
      <alignment horizontal="center" vertical="center"/>
    </xf>
    <xf numFmtId="0" fontId="29" fillId="0" borderId="0" xfId="0" applyFont="1" applyAlignment="1">
      <alignment horizontal="center" vertical="center"/>
    </xf>
    <xf numFmtId="0" fontId="29" fillId="0" borderId="3" xfId="0" applyFont="1" applyBorder="1" applyAlignment="1">
      <alignment horizontal="left" vertical="center"/>
    </xf>
    <xf numFmtId="0" fontId="0" fillId="0" borderId="3" xfId="0" applyBorder="1">
      <alignment vertical="center"/>
    </xf>
    <xf numFmtId="0" fontId="0" fillId="0" borderId="0" xfId="0" applyAlignment="1">
      <alignment horizontal="left" vertical="center"/>
    </xf>
    <xf numFmtId="0" fontId="0" fillId="0" borderId="13" xfId="0" applyBorder="1">
      <alignment vertical="center"/>
    </xf>
    <xf numFmtId="0" fontId="0" fillId="0" borderId="3" xfId="0" applyBorder="1" applyAlignment="1">
      <alignment horizontal="center" vertical="center" shrinkToFit="1"/>
    </xf>
    <xf numFmtId="0" fontId="0" fillId="0" borderId="5" xfId="0" applyBorder="1" applyAlignment="1">
      <alignment horizontal="center" vertical="center"/>
    </xf>
    <xf numFmtId="0" fontId="29" fillId="0" borderId="2" xfId="0" applyFont="1" applyBorder="1" applyAlignment="1">
      <alignment horizontal="center" vertical="center"/>
    </xf>
    <xf numFmtId="0" fontId="0" fillId="0" borderId="4" xfId="0" applyBorder="1" applyAlignment="1">
      <alignment horizontal="center" vertical="center" shrinkToFit="1"/>
    </xf>
    <xf numFmtId="0" fontId="0" fillId="0" borderId="5" xfId="0" applyBorder="1" applyAlignment="1">
      <alignment horizontal="center" vertical="center" shrinkToFit="1"/>
    </xf>
    <xf numFmtId="0" fontId="0" fillId="0" borderId="5" xfId="0" applyBorder="1" applyAlignment="1">
      <alignment horizontal="left" vertical="center"/>
    </xf>
    <xf numFmtId="0" fontId="0" fillId="0" borderId="4" xfId="0" applyBorder="1">
      <alignment vertical="center"/>
    </xf>
    <xf numFmtId="0" fontId="0" fillId="0" borderId="5" xfId="0" applyBorder="1">
      <alignment vertical="center"/>
    </xf>
    <xf numFmtId="0" fontId="29" fillId="0" borderId="5" xfId="0" applyFont="1" applyBorder="1" applyAlignment="1">
      <alignment horizontal="center" vertical="center" shrinkToFit="1"/>
    </xf>
    <xf numFmtId="0" fontId="29" fillId="0" borderId="3" xfId="0" applyFont="1" applyBorder="1" applyAlignment="1">
      <alignment horizontal="center" vertical="center" shrinkToFit="1"/>
    </xf>
    <xf numFmtId="0" fontId="0" fillId="0" borderId="17" xfId="0" applyBorder="1" applyAlignment="1">
      <alignment horizontal="left" vertical="center"/>
    </xf>
    <xf numFmtId="56" fontId="0" fillId="0" borderId="17" xfId="0" applyNumberFormat="1" applyBorder="1" applyAlignment="1">
      <alignment horizontal="left" vertical="center"/>
    </xf>
    <xf numFmtId="0" fontId="0" fillId="0" borderId="17" xfId="0" applyBorder="1" applyAlignment="1">
      <alignment horizontal="left" vertical="center" shrinkToFit="1"/>
    </xf>
    <xf numFmtId="0" fontId="0" fillId="0" borderId="3" xfId="0" applyBorder="1" applyAlignment="1">
      <alignment horizontal="left" vertical="center"/>
    </xf>
    <xf numFmtId="0" fontId="29" fillId="0" borderId="3" xfId="0" applyFont="1" applyBorder="1" applyAlignment="1">
      <alignment horizontal="left" vertical="center" shrinkToFit="1"/>
    </xf>
    <xf numFmtId="0" fontId="0" fillId="0" borderId="17" xfId="0" applyBorder="1">
      <alignment vertical="center"/>
    </xf>
    <xf numFmtId="0" fontId="0" fillId="0" borderId="15"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30" fillId="0" borderId="0" xfId="0" applyFont="1" applyAlignment="1">
      <alignment horizontal="left" vertical="center"/>
    </xf>
    <xf numFmtId="0" fontId="26" fillId="0" borderId="0" xfId="0" applyFont="1" applyAlignment="1">
      <alignment horizontal="left" vertical="center"/>
    </xf>
    <xf numFmtId="0" fontId="5" fillId="0" borderId="4" xfId="0" applyFont="1" applyBorder="1" applyAlignment="1">
      <alignment horizontal="left" vertical="center" shrinkToFit="1"/>
    </xf>
    <xf numFmtId="0" fontId="5" fillId="3" borderId="4" xfId="0" applyFont="1" applyFill="1" applyBorder="1" applyAlignment="1">
      <alignment horizontal="left" vertical="center" shrinkToFit="1"/>
    </xf>
    <xf numFmtId="0" fontId="5" fillId="3" borderId="2" xfId="0" applyFont="1" applyFill="1" applyBorder="1" applyAlignment="1">
      <alignment horizontal="left" vertical="center" shrinkToFit="1"/>
    </xf>
    <xf numFmtId="0" fontId="4" fillId="0" borderId="4" xfId="0" applyFont="1" applyBorder="1" applyAlignment="1">
      <alignment horizontal="left" vertical="center" shrinkToFit="1"/>
    </xf>
    <xf numFmtId="0" fontId="8" fillId="0" borderId="2" xfId="0" applyFont="1" applyBorder="1" applyAlignment="1">
      <alignment horizontal="left" vertical="center" shrinkToFit="1"/>
    </xf>
    <xf numFmtId="0" fontId="8" fillId="0" borderId="5" xfId="0" applyFont="1" applyBorder="1" applyAlignment="1">
      <alignment horizontal="left" vertical="center" shrinkToFit="1"/>
    </xf>
    <xf numFmtId="0" fontId="5" fillId="3" borderId="4" xfId="0" applyFont="1" applyFill="1" applyBorder="1" applyAlignment="1">
      <alignment horizontal="left" vertical="center"/>
    </xf>
    <xf numFmtId="0" fontId="5" fillId="3" borderId="2" xfId="0" applyFont="1" applyFill="1" applyBorder="1" applyAlignment="1">
      <alignment horizontal="left" vertical="center"/>
    </xf>
    <xf numFmtId="0" fontId="3" fillId="3" borderId="2" xfId="0" applyFont="1" applyFill="1" applyBorder="1" applyAlignment="1">
      <alignment horizontal="center" vertical="center" shrinkToFit="1"/>
    </xf>
    <xf numFmtId="0" fontId="3" fillId="3" borderId="5" xfId="0" applyFont="1" applyFill="1" applyBorder="1" applyAlignment="1">
      <alignment horizontal="center" vertical="center" shrinkToFit="1"/>
    </xf>
    <xf numFmtId="0" fontId="8" fillId="3" borderId="2" xfId="0" applyFont="1" applyFill="1" applyBorder="1" applyAlignment="1">
      <alignment horizontal="left" vertical="center" shrinkToFit="1"/>
    </xf>
    <xf numFmtId="0" fontId="8" fillId="3" borderId="5" xfId="0" applyFont="1" applyFill="1" applyBorder="1" applyAlignment="1">
      <alignment horizontal="left" vertical="center" shrinkToFit="1"/>
    </xf>
    <xf numFmtId="0" fontId="0" fillId="0" borderId="11" xfId="0" applyBorder="1" applyAlignment="1">
      <alignment horizontal="left" vertical="center"/>
    </xf>
    <xf numFmtId="0" fontId="6" fillId="0" borderId="9" xfId="0" applyFont="1" applyBorder="1" applyAlignment="1">
      <alignment horizontal="left" vertical="center"/>
    </xf>
    <xf numFmtId="0" fontId="8" fillId="0" borderId="9" xfId="0" applyFont="1" applyBorder="1" applyAlignment="1">
      <alignment horizontal="left" vertical="center" shrinkToFit="1"/>
    </xf>
    <xf numFmtId="0" fontId="3" fillId="0" borderId="11" xfId="0" applyFont="1" applyBorder="1" applyAlignment="1">
      <alignment horizontal="left" vertical="center" shrinkToFit="1"/>
    </xf>
    <xf numFmtId="0" fontId="3" fillId="0" borderId="9" xfId="0" applyFont="1" applyBorder="1" applyAlignment="1">
      <alignment horizontal="left" vertical="center" shrinkToFit="1"/>
    </xf>
    <xf numFmtId="0" fontId="8" fillId="0" borderId="0" xfId="0" applyFont="1" applyAlignment="1">
      <alignment horizontal="left" vertical="center" shrinkToFit="1"/>
    </xf>
    <xf numFmtId="0" fontId="8" fillId="0" borderId="13" xfId="0" applyFont="1" applyBorder="1" applyAlignment="1">
      <alignment horizontal="left" vertical="center" shrinkToFit="1"/>
    </xf>
    <xf numFmtId="0" fontId="5" fillId="0" borderId="0" xfId="0" applyFont="1" applyAlignment="1">
      <alignment horizontal="left" vertical="center" shrinkToFit="1"/>
    </xf>
    <xf numFmtId="0" fontId="5" fillId="0" borderId="13" xfId="0" applyFont="1" applyBorder="1" applyAlignment="1">
      <alignment horizontal="left" vertical="center" shrinkToFit="1"/>
    </xf>
    <xf numFmtId="0" fontId="5" fillId="3" borderId="11" xfId="0" applyFont="1" applyFill="1" applyBorder="1" applyAlignment="1">
      <alignment horizontal="left" vertical="center" shrinkToFit="1"/>
    </xf>
    <xf numFmtId="0" fontId="5" fillId="3" borderId="9" xfId="0" applyFont="1" applyFill="1" applyBorder="1" applyAlignment="1">
      <alignment horizontal="left" vertical="center" shrinkToFit="1"/>
    </xf>
    <xf numFmtId="0" fontId="4" fillId="0" borderId="15" xfId="0" applyFont="1" applyBorder="1" applyAlignment="1">
      <alignment horizontal="left" vertical="center" shrinkToFit="1"/>
    </xf>
    <xf numFmtId="0" fontId="3" fillId="0" borderId="0" xfId="0" applyFont="1" applyAlignment="1">
      <alignment horizontal="left" vertical="center" shrinkToFit="1"/>
    </xf>
    <xf numFmtId="0" fontId="5" fillId="0" borderId="15" xfId="0" applyFont="1" applyBorder="1" applyAlignment="1">
      <alignment horizontal="left" vertical="center" shrinkToFit="1"/>
    </xf>
    <xf numFmtId="0" fontId="5" fillId="3" borderId="14" xfId="0" applyFont="1" applyFill="1" applyBorder="1" applyAlignment="1">
      <alignment horizontal="left" vertical="center" shrinkToFit="1"/>
    </xf>
    <xf numFmtId="0" fontId="5" fillId="3" borderId="1" xfId="0" applyFont="1" applyFill="1" applyBorder="1" applyAlignment="1">
      <alignment horizontal="left" vertical="center" shrinkToFit="1"/>
    </xf>
    <xf numFmtId="0" fontId="4" fillId="0" borderId="4" xfId="0" applyFont="1" applyBorder="1" applyAlignment="1">
      <alignment horizontal="center" vertical="center" shrinkToFit="1"/>
    </xf>
    <xf numFmtId="0" fontId="4" fillId="0" borderId="2" xfId="0" applyFont="1" applyBorder="1" applyAlignment="1">
      <alignment horizontal="center" vertical="center" shrinkToFit="1"/>
    </xf>
    <xf numFmtId="0" fontId="8" fillId="3" borderId="2" xfId="0" applyFont="1" applyFill="1" applyBorder="1" applyAlignment="1">
      <alignment horizontal="left" vertical="center"/>
    </xf>
    <xf numFmtId="0" fontId="8" fillId="3" borderId="5" xfId="0" applyFont="1" applyFill="1" applyBorder="1" applyAlignment="1">
      <alignment horizontal="left" vertical="center"/>
    </xf>
    <xf numFmtId="0" fontId="8" fillId="3" borderId="1" xfId="0" applyFont="1" applyFill="1" applyBorder="1" applyAlignment="1">
      <alignment horizontal="left" vertical="center" shrinkToFit="1"/>
    </xf>
    <xf numFmtId="0" fontId="8" fillId="3" borderId="12" xfId="0" applyFont="1" applyFill="1" applyBorder="1" applyAlignment="1">
      <alignment horizontal="left" vertical="center" shrinkToFit="1"/>
    </xf>
    <xf numFmtId="0" fontId="4" fillId="2" borderId="4" xfId="0" applyFont="1" applyFill="1" applyBorder="1" applyAlignment="1">
      <alignment horizontal="left" vertical="center"/>
    </xf>
    <xf numFmtId="0" fontId="3" fillId="2" borderId="2" xfId="0" applyFont="1" applyFill="1" applyBorder="1" applyAlignment="1">
      <alignment horizontal="left" vertical="center"/>
    </xf>
    <xf numFmtId="0" fontId="8" fillId="0" borderId="1" xfId="0" applyFont="1" applyBorder="1" applyAlignment="1">
      <alignment horizontal="left" vertical="center" shrinkToFit="1"/>
    </xf>
    <xf numFmtId="0" fontId="8" fillId="0" borderId="12" xfId="0" applyFont="1" applyBorder="1" applyAlignment="1">
      <alignment horizontal="left" vertical="center" shrinkToFit="1"/>
    </xf>
    <xf numFmtId="0" fontId="3" fillId="3" borderId="4" xfId="0" applyFont="1" applyFill="1" applyBorder="1" applyAlignment="1">
      <alignment horizontal="left" vertical="center"/>
    </xf>
    <xf numFmtId="0" fontId="3" fillId="3" borderId="2" xfId="0" applyFont="1" applyFill="1" applyBorder="1" applyAlignment="1">
      <alignment horizontal="left" vertical="center"/>
    </xf>
    <xf numFmtId="0" fontId="3" fillId="3" borderId="4" xfId="0" applyFont="1" applyFill="1" applyBorder="1" applyAlignment="1">
      <alignment horizontal="left" vertical="center" shrinkToFit="1"/>
    </xf>
    <xf numFmtId="0" fontId="3" fillId="3" borderId="2" xfId="0" applyFont="1" applyFill="1" applyBorder="1" applyAlignment="1">
      <alignment horizontal="left" vertical="center" shrinkToFit="1"/>
    </xf>
    <xf numFmtId="0" fontId="0" fillId="0" borderId="2" xfId="0" applyBorder="1">
      <alignment vertical="center"/>
    </xf>
    <xf numFmtId="0" fontId="3" fillId="3" borderId="11" xfId="0" applyFont="1" applyFill="1" applyBorder="1" applyAlignment="1">
      <alignment horizontal="left" vertical="center" shrinkToFit="1"/>
    </xf>
    <xf numFmtId="0" fontId="3" fillId="3" borderId="9" xfId="0" applyFont="1" applyFill="1" applyBorder="1" applyAlignment="1">
      <alignment horizontal="left" vertical="center" shrinkToFit="1"/>
    </xf>
    <xf numFmtId="0" fontId="8" fillId="3" borderId="9" xfId="0" applyFont="1" applyFill="1" applyBorder="1" applyAlignment="1">
      <alignment horizontal="left" vertical="center" shrinkToFit="1"/>
    </xf>
    <xf numFmtId="0" fontId="8" fillId="2" borderId="3" xfId="0" applyFont="1" applyFill="1" applyBorder="1" applyAlignment="1">
      <alignment horizontal="left" vertical="center"/>
    </xf>
    <xf numFmtId="0" fontId="8" fillId="0" borderId="0" xfId="0" applyFont="1" applyAlignment="1">
      <alignment horizontal="center" vertical="center"/>
    </xf>
    <xf numFmtId="0" fontId="5" fillId="3" borderId="5" xfId="0" applyFont="1" applyFill="1" applyBorder="1" applyAlignment="1">
      <alignment horizontal="left" vertical="center"/>
    </xf>
    <xf numFmtId="0" fontId="8" fillId="3" borderId="3" xfId="0" applyFont="1" applyFill="1" applyBorder="1" applyAlignment="1">
      <alignment horizontal="left" vertical="center"/>
    </xf>
    <xf numFmtId="0" fontId="0" fillId="0" borderId="0" xfId="0" applyAlignment="1">
      <alignment horizontal="center" vertical="center"/>
    </xf>
    <xf numFmtId="0" fontId="8" fillId="3" borderId="3" xfId="0" applyFont="1" applyFill="1" applyBorder="1" applyAlignment="1">
      <alignment horizontal="left" vertical="center" shrinkToFit="1"/>
    </xf>
    <xf numFmtId="0" fontId="8" fillId="2" borderId="5" xfId="0" applyFont="1" applyFill="1" applyBorder="1" applyAlignment="1">
      <alignment horizontal="left" vertical="center" shrinkToFit="1"/>
    </xf>
    <xf numFmtId="0" fontId="8" fillId="2" borderId="3" xfId="0" applyFont="1" applyFill="1" applyBorder="1" applyAlignment="1">
      <alignment horizontal="left" vertical="center" shrinkToFit="1"/>
    </xf>
    <xf numFmtId="0" fontId="13" fillId="0" borderId="11" xfId="0" applyFont="1" applyBorder="1" applyAlignment="1">
      <alignment horizontal="center" vertical="center"/>
    </xf>
    <xf numFmtId="0" fontId="13" fillId="0" borderId="15" xfId="0" applyFont="1" applyBorder="1" applyAlignment="1">
      <alignment horizontal="center" vertical="center"/>
    </xf>
    <xf numFmtId="0" fontId="13" fillId="0" borderId="14" xfId="0" applyFont="1" applyBorder="1" applyAlignment="1">
      <alignment horizontal="center" vertical="center"/>
    </xf>
    <xf numFmtId="0" fontId="16" fillId="0" borderId="6" xfId="0" applyFont="1" applyBorder="1" applyAlignment="1">
      <alignment horizontal="center" vertical="center" textRotation="255"/>
    </xf>
    <xf numFmtId="0" fontId="13" fillId="0" borderId="7" xfId="0" applyFont="1" applyBorder="1" applyAlignment="1">
      <alignment vertical="center" textRotation="255"/>
    </xf>
    <xf numFmtId="0" fontId="13" fillId="0" borderId="8" xfId="0" applyFont="1" applyBorder="1" applyAlignment="1">
      <alignment vertical="center" textRotation="255"/>
    </xf>
    <xf numFmtId="0" fontId="5" fillId="3" borderId="5" xfId="0" applyFont="1" applyFill="1" applyBorder="1" applyAlignment="1">
      <alignment horizontal="left" vertical="center" shrinkToFi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right" vertical="center"/>
    </xf>
    <xf numFmtId="0" fontId="3" fillId="0" borderId="2" xfId="0" applyFont="1" applyBorder="1" applyAlignment="1">
      <alignment horizontal="right" vertical="center"/>
    </xf>
    <xf numFmtId="0" fontId="3" fillId="0" borderId="5" xfId="0" applyFont="1" applyBorder="1" applyAlignment="1">
      <alignment horizontal="right" vertical="center"/>
    </xf>
    <xf numFmtId="0" fontId="4" fillId="0" borderId="11" xfId="0" applyFont="1" applyBorder="1" applyAlignment="1">
      <alignment horizontal="left" vertical="center" shrinkToFit="1"/>
    </xf>
    <xf numFmtId="0" fontId="5" fillId="0" borderId="11" xfId="0" applyFont="1" applyBorder="1" applyAlignment="1">
      <alignment horizontal="left" vertical="center" shrinkToFit="1"/>
    </xf>
    <xf numFmtId="0" fontId="5" fillId="0" borderId="9" xfId="0" applyFont="1" applyBorder="1" applyAlignment="1">
      <alignment horizontal="left" vertical="center" shrinkToFit="1"/>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0" fillId="2" borderId="2" xfId="0" applyFill="1" applyBorder="1" applyAlignment="1">
      <alignment horizontal="left" vertical="center"/>
    </xf>
    <xf numFmtId="0" fontId="0" fillId="2" borderId="5" xfId="0" applyFill="1" applyBorder="1" applyAlignment="1">
      <alignment horizontal="left" vertical="center"/>
    </xf>
    <xf numFmtId="0" fontId="8" fillId="2" borderId="9" xfId="0" applyFont="1" applyFill="1" applyBorder="1" applyAlignment="1">
      <alignment horizontal="left" vertical="center" shrinkToFit="1"/>
    </xf>
    <xf numFmtId="0" fontId="3" fillId="2" borderId="11" xfId="0" applyFont="1" applyFill="1" applyBorder="1" applyAlignment="1">
      <alignment horizontal="left" vertical="center" shrinkToFit="1"/>
    </xf>
    <xf numFmtId="0" fontId="3" fillId="2" borderId="9" xfId="0" applyFont="1" applyFill="1" applyBorder="1" applyAlignment="1">
      <alignment horizontal="left" vertical="center" shrinkToFit="1"/>
    </xf>
    <xf numFmtId="0" fontId="0" fillId="2" borderId="4" xfId="0" applyFill="1" applyBorder="1" applyAlignment="1">
      <alignment horizontal="left" vertical="center"/>
    </xf>
    <xf numFmtId="0" fontId="4" fillId="2" borderId="4" xfId="0" applyFont="1" applyFill="1" applyBorder="1" applyAlignment="1">
      <alignment horizontal="left" vertical="center" shrinkToFit="1"/>
    </xf>
    <xf numFmtId="0" fontId="3" fillId="2" borderId="2" xfId="0" applyFont="1" applyFill="1" applyBorder="1" applyAlignment="1">
      <alignment horizontal="left" vertical="center" shrinkToFit="1"/>
    </xf>
    <xf numFmtId="0" fontId="8" fillId="2" borderId="2" xfId="0" applyFont="1" applyFill="1" applyBorder="1" applyAlignment="1">
      <alignment horizontal="left" vertical="center" shrinkToFit="1"/>
    </xf>
    <xf numFmtId="0" fontId="4" fillId="2" borderId="11" xfId="0" applyFont="1" applyFill="1" applyBorder="1" applyAlignment="1">
      <alignment horizontal="left" vertical="center" shrinkToFit="1"/>
    </xf>
    <xf numFmtId="0" fontId="5" fillId="0" borderId="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4" xfId="0" applyFont="1" applyBorder="1" applyAlignment="1">
      <alignment horizontal="center" vertical="center" shrinkToFit="1"/>
    </xf>
    <xf numFmtId="0" fontId="0" fillId="0" borderId="14" xfId="0" applyBorder="1" applyAlignment="1">
      <alignment horizontal="left" vertical="center"/>
    </xf>
    <xf numFmtId="0" fontId="3" fillId="3" borderId="5" xfId="0" applyFont="1" applyFill="1" applyBorder="1" applyAlignment="1">
      <alignment horizontal="left" vertical="center" shrinkToFit="1"/>
    </xf>
    <xf numFmtId="0" fontId="29" fillId="0" borderId="4" xfId="0" applyFont="1" applyBorder="1">
      <alignment vertical="center"/>
    </xf>
    <xf numFmtId="0" fontId="29" fillId="0" borderId="2" xfId="0" applyFont="1" applyBorder="1">
      <alignment vertical="center"/>
    </xf>
    <xf numFmtId="0" fontId="29" fillId="0" borderId="5" xfId="0" applyFont="1" applyBorder="1">
      <alignment vertical="center"/>
    </xf>
    <xf numFmtId="0" fontId="18" fillId="0" borderId="2" xfId="0" applyFont="1" applyBorder="1" applyAlignment="1">
      <alignment horizontal="left" vertical="center"/>
    </xf>
    <xf numFmtId="0" fontId="26" fillId="0" borderId="3" xfId="0" applyFont="1" applyBorder="1">
      <alignment vertical="center"/>
    </xf>
    <xf numFmtId="0" fontId="26" fillId="0" borderId="2" xfId="0" applyFont="1" applyBorder="1" applyAlignment="1">
      <alignment horizontal="left" vertical="center"/>
    </xf>
    <xf numFmtId="0" fontId="26" fillId="0" borderId="5" xfId="0" applyFont="1" applyBorder="1" applyAlignment="1">
      <alignment horizontal="left" vertical="center"/>
    </xf>
    <xf numFmtId="0" fontId="29" fillId="0" borderId="4" xfId="0" applyFont="1" applyBorder="1" applyAlignment="1">
      <alignment horizontal="center" vertical="center" shrinkToFit="1"/>
    </xf>
    <xf numFmtId="0" fontId="29" fillId="0" borderId="0" xfId="0" applyFont="1">
      <alignment vertical="center"/>
    </xf>
    <xf numFmtId="0" fontId="26" fillId="0" borderId="3" xfId="0" applyFont="1" applyBorder="1" applyAlignment="1">
      <alignment horizontal="left" vertical="center"/>
    </xf>
    <xf numFmtId="0" fontId="32" fillId="0" borderId="27" xfId="0" applyFont="1" applyBorder="1" applyAlignment="1">
      <alignment horizontal="center" vertical="center"/>
    </xf>
    <xf numFmtId="0" fontId="32" fillId="0" borderId="28" xfId="0" applyFont="1" applyBorder="1" applyAlignment="1">
      <alignment horizontal="center" vertical="center"/>
    </xf>
    <xf numFmtId="0" fontId="29" fillId="0" borderId="11" xfId="0" applyFont="1" applyBorder="1" applyAlignment="1">
      <alignment horizontal="left" vertical="center"/>
    </xf>
    <xf numFmtId="0" fontId="26" fillId="0" borderId="9" xfId="0" applyFont="1" applyBorder="1" applyAlignment="1">
      <alignment horizontal="left" vertical="center"/>
    </xf>
    <xf numFmtId="0" fontId="30" fillId="0" borderId="1" xfId="0" applyFont="1" applyBorder="1">
      <alignment vertical="center"/>
    </xf>
    <xf numFmtId="0" fontId="30" fillId="0" borderId="29" xfId="0" applyFont="1" applyBorder="1">
      <alignment vertical="center"/>
    </xf>
    <xf numFmtId="0" fontId="30" fillId="0" borderId="30" xfId="0" applyFont="1" applyBorder="1">
      <alignment vertical="center"/>
    </xf>
    <xf numFmtId="0" fontId="26" fillId="0" borderId="29" xfId="0" applyFont="1" applyBorder="1">
      <alignment vertical="center"/>
    </xf>
    <xf numFmtId="0" fontId="26" fillId="0" borderId="30" xfId="0" applyFont="1" applyBorder="1">
      <alignment vertical="center"/>
    </xf>
    <xf numFmtId="0" fontId="29" fillId="0" borderId="6" xfId="0" applyFont="1" applyBorder="1" applyAlignment="1">
      <alignment horizontal="center" vertical="center"/>
    </xf>
    <xf numFmtId="0" fontId="32" fillId="0" borderId="3" xfId="0" applyFont="1" applyBorder="1" applyAlignment="1">
      <alignment horizontal="left" vertical="center" shrinkToFit="1"/>
    </xf>
    <xf numFmtId="0" fontId="29" fillId="0" borderId="17" xfId="0" applyFont="1" applyBorder="1">
      <alignment vertical="center"/>
    </xf>
    <xf numFmtId="0" fontId="32" fillId="0" borderId="3" xfId="0" applyFont="1" applyBorder="1" applyAlignment="1">
      <alignment horizontal="left" vertical="center"/>
    </xf>
    <xf numFmtId="0" fontId="32" fillId="0" borderId="5" xfId="0" applyFont="1" applyBorder="1" applyAlignment="1">
      <alignment horizontal="left" vertical="center" shrinkToFit="1"/>
    </xf>
    <xf numFmtId="0" fontId="31" fillId="0" borderId="3" xfId="0" applyFont="1" applyBorder="1" applyAlignment="1">
      <alignment horizontal="center" vertical="center"/>
    </xf>
    <xf numFmtId="0" fontId="32" fillId="0" borderId="4" xfId="0" applyFont="1" applyBorder="1" applyAlignment="1">
      <alignment horizontal="left" vertical="center" shrinkToFit="1"/>
    </xf>
    <xf numFmtId="0" fontId="29" fillId="0" borderId="31" xfId="0" applyFont="1" applyBorder="1">
      <alignment vertical="center"/>
    </xf>
    <xf numFmtId="0" fontId="29" fillId="0" borderId="32" xfId="0" applyFont="1" applyBorder="1" applyAlignment="1">
      <alignment horizontal="left" vertical="center" shrinkToFit="1"/>
    </xf>
    <xf numFmtId="0" fontId="29" fillId="0" borderId="33" xfId="0" applyFont="1" applyBorder="1" applyAlignment="1">
      <alignment horizontal="left" vertical="center" shrinkToFit="1"/>
    </xf>
    <xf numFmtId="0" fontId="29" fillId="0" borderId="34" xfId="0" applyFont="1" applyBorder="1">
      <alignment vertical="center"/>
    </xf>
    <xf numFmtId="0" fontId="32" fillId="0" borderId="3" xfId="0" applyFont="1" applyBorder="1">
      <alignment vertical="center"/>
    </xf>
    <xf numFmtId="0" fontId="9" fillId="0" borderId="0" xfId="0" applyFont="1" applyAlignment="1">
      <alignment horizontal="left" vertical="center"/>
    </xf>
    <xf numFmtId="0" fontId="3" fillId="4" borderId="4" xfId="0" applyFont="1" applyFill="1" applyBorder="1" applyAlignment="1">
      <alignment horizontal="left" vertical="center"/>
    </xf>
    <xf numFmtId="0" fontId="3" fillId="4" borderId="2" xfId="0" applyFont="1" applyFill="1" applyBorder="1" applyAlignment="1">
      <alignment horizontal="left" vertical="center"/>
    </xf>
    <xf numFmtId="0" fontId="3" fillId="4" borderId="2" xfId="0" applyFont="1" applyFill="1" applyBorder="1" applyAlignment="1">
      <alignment horizontal="left" vertical="center" shrinkToFit="1"/>
    </xf>
    <xf numFmtId="0" fontId="3" fillId="4" borderId="5" xfId="0" applyFont="1" applyFill="1" applyBorder="1" applyAlignment="1">
      <alignment horizontal="left" vertical="center" shrinkToFit="1"/>
    </xf>
    <xf numFmtId="0" fontId="9" fillId="0" borderId="0" xfId="0" applyFont="1">
      <alignment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6" fillId="0" borderId="7" xfId="0" applyFont="1" applyBorder="1" applyAlignment="1">
      <alignment horizontal="center" vertical="center" textRotation="255"/>
    </xf>
    <xf numFmtId="0" fontId="16" fillId="0" borderId="8" xfId="0" applyFont="1" applyBorder="1" applyAlignment="1">
      <alignment horizontal="center" vertical="center" textRotation="255"/>
    </xf>
    <xf numFmtId="0" fontId="3" fillId="4" borderId="11" xfId="0" applyFont="1" applyFill="1" applyBorder="1" applyAlignment="1">
      <alignment horizontal="left" vertical="center" shrinkToFit="1"/>
    </xf>
    <xf numFmtId="0" fontId="3" fillId="4" borderId="9" xfId="0" applyFont="1" applyFill="1" applyBorder="1" applyAlignment="1">
      <alignment horizontal="left" vertical="center" shrinkToFit="1"/>
    </xf>
    <xf numFmtId="0" fontId="8" fillId="4" borderId="2" xfId="0" applyFont="1" applyFill="1" applyBorder="1" applyAlignment="1">
      <alignment horizontal="left" vertical="center" shrinkToFit="1"/>
    </xf>
    <xf numFmtId="0" fontId="8" fillId="4" borderId="5" xfId="0" applyFont="1" applyFill="1" applyBorder="1" applyAlignment="1">
      <alignment horizontal="left" vertical="center" shrinkToFit="1"/>
    </xf>
    <xf numFmtId="0" fontId="3" fillId="4" borderId="4" xfId="0" applyFont="1" applyFill="1" applyBorder="1" applyAlignment="1">
      <alignment horizontal="left" vertical="center" shrinkToFit="1"/>
    </xf>
    <xf numFmtId="0" fontId="5" fillId="4" borderId="11" xfId="0" applyFont="1" applyFill="1" applyBorder="1" applyAlignment="1">
      <alignment horizontal="left" vertical="center" shrinkToFit="1"/>
    </xf>
    <xf numFmtId="0" fontId="5" fillId="4" borderId="9" xfId="0" applyFont="1" applyFill="1" applyBorder="1" applyAlignment="1">
      <alignment horizontal="left" vertical="center" shrinkToFit="1"/>
    </xf>
    <xf numFmtId="0" fontId="8" fillId="4" borderId="9" xfId="0" applyFont="1" applyFill="1" applyBorder="1" applyAlignment="1">
      <alignment horizontal="left" vertical="center" shrinkToFit="1"/>
    </xf>
    <xf numFmtId="0" fontId="5" fillId="4" borderId="4" xfId="0" applyFont="1" applyFill="1" applyBorder="1" applyAlignment="1">
      <alignment horizontal="left" vertical="center" shrinkToFit="1"/>
    </xf>
    <xf numFmtId="0" fontId="5" fillId="4" borderId="2" xfId="0" applyFont="1" applyFill="1" applyBorder="1" applyAlignment="1">
      <alignment horizontal="left" vertical="center" shrinkToFit="1"/>
    </xf>
    <xf numFmtId="0" fontId="0" fillId="0" borderId="4" xfId="0" applyBorder="1" applyAlignment="1">
      <alignment horizontal="left" vertical="center" shrinkToFit="1"/>
    </xf>
    <xf numFmtId="0" fontId="0" fillId="0" borderId="2" xfId="0" applyBorder="1" applyAlignment="1">
      <alignment horizontal="left" vertical="center" shrinkToFit="1"/>
    </xf>
    <xf numFmtId="0" fontId="0" fillId="0" borderId="5" xfId="0" applyBorder="1" applyAlignment="1">
      <alignment horizontal="left" vertical="center" shrinkToFit="1"/>
    </xf>
    <xf numFmtId="0" fontId="4" fillId="4" borderId="4" xfId="0" applyFont="1" applyFill="1" applyBorder="1" applyAlignment="1">
      <alignment horizontal="left" vertical="center" shrinkToFit="1"/>
    </xf>
    <xf numFmtId="0" fontId="4" fillId="4" borderId="2" xfId="0" applyFont="1" applyFill="1" applyBorder="1" applyAlignment="1">
      <alignment horizontal="left" vertical="center" shrinkToFit="1"/>
    </xf>
    <xf numFmtId="0" fontId="4" fillId="4" borderId="11" xfId="0" applyFont="1" applyFill="1" applyBorder="1" applyAlignment="1">
      <alignment horizontal="left" vertical="center" shrinkToFit="1"/>
    </xf>
    <xf numFmtId="0" fontId="8" fillId="4" borderId="9" xfId="0" applyFont="1" applyFill="1" applyBorder="1" applyAlignment="1">
      <alignment horizontal="left" vertical="center"/>
    </xf>
    <xf numFmtId="0" fontId="8" fillId="0" borderId="4" xfId="0" applyFont="1" applyBorder="1">
      <alignment vertical="center"/>
    </xf>
    <xf numFmtId="0" fontId="8" fillId="0" borderId="2" xfId="0" applyFont="1" applyBorder="1">
      <alignment vertical="center"/>
    </xf>
    <xf numFmtId="0" fontId="8" fillId="0" borderId="5" xfId="0" applyFont="1" applyBorder="1">
      <alignment vertical="center"/>
    </xf>
    <xf numFmtId="0" fontId="23" fillId="0" borderId="9" xfId="0" applyFont="1" applyBorder="1" applyAlignment="1">
      <alignment horizontal="left" vertical="center"/>
    </xf>
    <xf numFmtId="0" fontId="40" fillId="0" borderId="11" xfId="0" applyFont="1" applyBorder="1" applyAlignment="1">
      <alignment horizontal="center" vertical="center" textRotation="255"/>
    </xf>
    <xf numFmtId="0" fontId="40" fillId="0" borderId="9" xfId="0" applyFont="1" applyBorder="1" applyAlignment="1">
      <alignment horizontal="center" vertical="center" textRotation="255"/>
    </xf>
    <xf numFmtId="0" fontId="40" fillId="0" borderId="10" xfId="0" applyFont="1" applyBorder="1" applyAlignment="1">
      <alignment horizontal="center" vertical="center" textRotation="255"/>
    </xf>
    <xf numFmtId="0" fontId="40" fillId="0" borderId="15" xfId="0" applyFont="1" applyBorder="1" applyAlignment="1">
      <alignment horizontal="center" vertical="center" textRotation="255"/>
    </xf>
    <xf numFmtId="0" fontId="40" fillId="0" borderId="0" xfId="0" applyFont="1" applyAlignment="1">
      <alignment horizontal="center" vertical="center" textRotation="255"/>
    </xf>
    <xf numFmtId="0" fontId="40" fillId="0" borderId="13" xfId="0" applyFont="1" applyBorder="1" applyAlignment="1">
      <alignment horizontal="center" vertical="center" textRotation="255"/>
    </xf>
    <xf numFmtId="0" fontId="40" fillId="0" borderId="14" xfId="0" applyFont="1" applyBorder="1" applyAlignment="1">
      <alignment horizontal="center" vertical="center" textRotation="255"/>
    </xf>
    <xf numFmtId="0" fontId="40" fillId="0" borderId="1" xfId="0" applyFont="1" applyBorder="1" applyAlignment="1">
      <alignment horizontal="center" vertical="center" textRotation="255"/>
    </xf>
    <xf numFmtId="0" fontId="40" fillId="0" borderId="12" xfId="0" applyFont="1" applyBorder="1" applyAlignment="1">
      <alignment horizontal="center" vertical="center" textRotation="255"/>
    </xf>
    <xf numFmtId="0" fontId="40" fillId="0" borderId="3" xfId="0" applyFont="1" applyBorder="1" applyAlignment="1">
      <alignment horizontal="center" vertical="center"/>
    </xf>
    <xf numFmtId="0" fontId="40" fillId="0" borderId="12" xfId="0" applyFont="1" applyBorder="1" applyAlignment="1">
      <alignment horizontal="center" vertical="center"/>
    </xf>
    <xf numFmtId="0" fontId="40" fillId="0" borderId="8" xfId="0" applyFont="1" applyBorder="1" applyAlignment="1">
      <alignment horizontal="center" vertical="center"/>
    </xf>
    <xf numFmtId="0" fontId="40" fillId="0" borderId="14" xfId="0" applyFont="1" applyBorder="1" applyAlignment="1">
      <alignment horizontal="center" vertical="center"/>
    </xf>
    <xf numFmtId="0" fontId="40" fillId="0" borderId="5" xfId="0" applyFont="1" applyBorder="1" applyAlignment="1">
      <alignment horizontal="center" vertical="center"/>
    </xf>
    <xf numFmtId="0" fontId="40" fillId="0" borderId="4" xfId="0" applyFont="1" applyBorder="1" applyAlignment="1">
      <alignment horizontal="center" vertical="center"/>
    </xf>
    <xf numFmtId="0" fontId="42" fillId="0" borderId="5" xfId="0" applyFont="1" applyBorder="1">
      <alignment vertical="center"/>
    </xf>
    <xf numFmtId="0" fontId="42" fillId="0" borderId="3" xfId="0" applyFont="1" applyBorder="1">
      <alignment vertical="center"/>
    </xf>
    <xf numFmtId="0" fontId="42" fillId="0" borderId="8" xfId="0" applyFont="1" applyBorder="1">
      <alignment vertical="center"/>
    </xf>
    <xf numFmtId="0" fontId="42" fillId="0" borderId="14" xfId="0" applyFont="1" applyBorder="1">
      <alignment vertical="center"/>
    </xf>
    <xf numFmtId="0" fontId="42" fillId="0" borderId="4" xfId="0" applyFont="1" applyBorder="1">
      <alignment vertical="center"/>
    </xf>
    <xf numFmtId="0" fontId="40" fillId="0" borderId="3" xfId="0" applyFont="1" applyBorder="1">
      <alignment vertical="center"/>
    </xf>
    <xf numFmtId="0" fontId="40" fillId="0" borderId="11" xfId="0" applyFont="1" applyBorder="1">
      <alignment vertical="center"/>
    </xf>
    <xf numFmtId="0" fontId="40" fillId="0" borderId="9" xfId="0" applyFont="1" applyBorder="1">
      <alignment vertical="center"/>
    </xf>
    <xf numFmtId="0" fontId="40" fillId="0" borderId="10" xfId="0" applyFont="1" applyBorder="1">
      <alignment vertical="center"/>
    </xf>
    <xf numFmtId="0" fontId="40" fillId="0" borderId="14" xfId="0" applyFont="1" applyBorder="1">
      <alignment vertical="center"/>
    </xf>
    <xf numFmtId="0" fontId="40" fillId="0" borderId="1" xfId="0" applyFont="1" applyBorder="1">
      <alignment vertical="center"/>
    </xf>
    <xf numFmtId="0" fontId="40" fillId="0" borderId="12" xfId="0" applyFont="1" applyBorder="1">
      <alignment vertical="center"/>
    </xf>
    <xf numFmtId="0" fontId="40" fillId="0" borderId="3" xfId="0" applyFont="1" applyBorder="1" applyAlignment="1">
      <alignment horizontal="left" vertical="center"/>
    </xf>
    <xf numFmtId="0" fontId="41" fillId="0" borderId="3" xfId="0" applyFont="1" applyBorder="1">
      <alignment vertical="center"/>
    </xf>
    <xf numFmtId="0" fontId="41" fillId="0" borderId="3" xfId="0" applyFont="1" applyBorder="1" applyAlignment="1">
      <alignment horizontal="center" vertical="center"/>
    </xf>
    <xf numFmtId="0" fontId="43" fillId="0" borderId="11" xfId="0" applyFont="1" applyBorder="1">
      <alignment vertical="center"/>
    </xf>
    <xf numFmtId="0" fontId="43" fillId="0" borderId="9" xfId="0" applyFont="1" applyBorder="1">
      <alignment vertical="center"/>
    </xf>
    <xf numFmtId="0" fontId="43" fillId="0" borderId="10" xfId="0" applyFont="1" applyBorder="1">
      <alignment vertical="center"/>
    </xf>
    <xf numFmtId="0" fontId="43" fillId="0" borderId="14" xfId="0" applyFont="1" applyBorder="1">
      <alignment vertical="center"/>
    </xf>
    <xf numFmtId="0" fontId="43" fillId="0" borderId="1" xfId="0" applyFont="1" applyBorder="1">
      <alignment vertical="center"/>
    </xf>
    <xf numFmtId="0" fontId="43" fillId="0" borderId="12" xfId="0" applyFont="1" applyBorder="1">
      <alignment vertical="center"/>
    </xf>
    <xf numFmtId="0" fontId="40" fillId="0" borderId="11" xfId="0" applyFont="1" applyBorder="1" applyAlignment="1">
      <alignment horizontal="center" vertical="center"/>
    </xf>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40" fillId="0" borderId="1" xfId="0" applyFont="1" applyBorder="1" applyAlignment="1">
      <alignment horizontal="center" vertical="center"/>
    </xf>
    <xf numFmtId="0" fontId="40" fillId="0" borderId="0" xfId="0" applyFont="1">
      <alignment vertical="center"/>
    </xf>
    <xf numFmtId="0" fontId="42" fillId="0" borderId="0" xfId="0" applyFont="1">
      <alignment vertical="center"/>
    </xf>
    <xf numFmtId="0" fontId="40" fillId="0" borderId="0" xfId="0" applyFont="1" applyAlignment="1">
      <alignment horizontal="left" vertical="center"/>
    </xf>
    <xf numFmtId="0" fontId="41" fillId="0" borderId="11" xfId="0" applyFont="1" applyBorder="1">
      <alignment vertical="center"/>
    </xf>
    <xf numFmtId="0" fontId="41" fillId="0" borderId="14" xfId="0" applyFont="1" applyBorder="1">
      <alignment vertical="center"/>
    </xf>
    <xf numFmtId="0" fontId="41" fillId="0" borderId="9" xfId="0" applyFont="1" applyBorder="1">
      <alignment vertical="center"/>
    </xf>
    <xf numFmtId="0" fontId="41" fillId="0" borderId="1" xfId="0" applyFont="1" applyBorder="1">
      <alignment vertical="center"/>
    </xf>
    <xf numFmtId="0" fontId="43" fillId="0" borderId="0" xfId="0" applyFont="1" applyAlignment="1">
      <alignment horizontal="center" vertical="center"/>
    </xf>
    <xf numFmtId="0" fontId="44" fillId="0" borderId="0" xfId="0" applyFont="1">
      <alignment vertical="center"/>
    </xf>
    <xf numFmtId="0" fontId="45" fillId="0" borderId="0" xfId="0" applyFont="1" applyAlignment="1">
      <alignment horizontal="center" vertical="center"/>
    </xf>
    <xf numFmtId="0" fontId="45" fillId="0" borderId="1" xfId="0" applyFont="1" applyBorder="1" applyAlignment="1">
      <alignment horizontal="center" vertical="center"/>
    </xf>
    <xf numFmtId="0" fontId="29" fillId="0" borderId="3" xfId="0" applyFont="1" applyBorder="1" applyAlignment="1">
      <alignment vertical="center" shrinkToFit="1"/>
    </xf>
    <xf numFmtId="0" fontId="0" fillId="0" borderId="3" xfId="0" applyBorder="1" applyAlignment="1">
      <alignment horizontal="left" vertical="center" shrinkToFit="1"/>
    </xf>
    <xf numFmtId="0" fontId="40" fillId="0" borderId="0" xfId="0" applyFont="1" applyAlignment="1">
      <alignment horizontal="center" vertical="center"/>
    </xf>
    <xf numFmtId="0" fontId="42" fillId="0" borderId="0" xfId="0" applyFont="1" applyAlignment="1">
      <alignment horizontal="center" vertical="center"/>
    </xf>
    <xf numFmtId="0" fontId="42" fillId="0" borderId="5" xfId="0" applyFont="1" applyBorder="1" applyAlignment="1">
      <alignment vertical="center" shrinkToFit="1"/>
    </xf>
    <xf numFmtId="0" fontId="42" fillId="0" borderId="3" xfId="0" applyFont="1" applyBorder="1" applyAlignment="1">
      <alignment vertical="center" shrinkToFit="1"/>
    </xf>
    <xf numFmtId="0" fontId="42" fillId="0" borderId="8" xfId="0" applyFont="1" applyBorder="1" applyAlignment="1">
      <alignment vertical="center" shrinkToFit="1"/>
    </xf>
    <xf numFmtId="0" fontId="42" fillId="0" borderId="14" xfId="0" applyFont="1" applyBorder="1" applyAlignment="1">
      <alignment vertical="center" shrinkToFit="1"/>
    </xf>
    <xf numFmtId="0" fontId="42" fillId="0" borderId="4" xfId="0" applyFont="1" applyBorder="1" applyAlignment="1">
      <alignment vertical="center" shrinkToFit="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15" xfId="0" applyBorder="1" applyAlignment="1">
      <alignment horizontal="center" vertical="center"/>
    </xf>
    <xf numFmtId="0" fontId="27" fillId="0" borderId="3" xfId="0" applyFont="1" applyBorder="1" applyAlignment="1">
      <alignment horizontal="center" vertical="center"/>
    </xf>
    <xf numFmtId="0" fontId="39" fillId="0" borderId="3" xfId="0" applyFont="1" applyBorder="1" applyAlignment="1">
      <alignment horizontal="left" vertical="center"/>
    </xf>
    <xf numFmtId="38" fontId="0" fillId="0" borderId="11" xfId="1" applyFont="1" applyBorder="1" applyAlignment="1">
      <alignment horizontal="center" vertical="center"/>
    </xf>
    <xf numFmtId="38" fontId="0" fillId="0" borderId="10" xfId="1" applyFont="1" applyBorder="1" applyAlignment="1">
      <alignment horizontal="center" vertical="center"/>
    </xf>
    <xf numFmtId="38" fontId="0" fillId="0" borderId="14" xfId="1" applyFont="1" applyBorder="1" applyAlignment="1">
      <alignment horizontal="center" vertical="center"/>
    </xf>
    <xf numFmtId="38" fontId="0" fillId="0" borderId="12" xfId="1" applyFont="1" applyBorder="1" applyAlignment="1">
      <alignment horizontal="center" vertical="center"/>
    </xf>
    <xf numFmtId="0" fontId="35" fillId="0" borderId="3" xfId="0" applyFont="1" applyBorder="1">
      <alignmen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2" xfId="0" applyBorder="1" applyAlignment="1">
      <alignment horizontal="left" vertical="center"/>
    </xf>
    <xf numFmtId="0" fontId="29" fillId="0" borderId="14" xfId="0" applyFont="1" applyBorder="1" applyAlignment="1">
      <alignment horizontal="center" vertical="center"/>
    </xf>
    <xf numFmtId="0" fontId="29" fillId="0" borderId="12" xfId="0" applyFont="1" applyBorder="1" applyAlignment="1">
      <alignment horizontal="center" vertical="center"/>
    </xf>
    <xf numFmtId="0" fontId="35" fillId="0" borderId="11" xfId="0" applyFont="1" applyBorder="1" applyAlignment="1">
      <alignment horizontal="center" vertical="center"/>
    </xf>
    <xf numFmtId="0" fontId="35" fillId="0" borderId="9" xfId="0" applyFont="1" applyBorder="1" applyAlignment="1">
      <alignment horizontal="center" vertical="center"/>
    </xf>
    <xf numFmtId="0" fontId="35" fillId="0" borderId="10" xfId="0" applyFont="1" applyBorder="1" applyAlignment="1">
      <alignment horizontal="center" vertical="center"/>
    </xf>
    <xf numFmtId="0" fontId="35" fillId="0" borderId="14" xfId="0" applyFont="1" applyBorder="1" applyAlignment="1">
      <alignment horizontal="center" vertical="center"/>
    </xf>
    <xf numFmtId="0" fontId="35" fillId="0" borderId="1" xfId="0" applyFont="1" applyBorder="1" applyAlignment="1">
      <alignment horizontal="center" vertical="center"/>
    </xf>
    <xf numFmtId="0" fontId="35" fillId="0" borderId="12" xfId="0" applyFont="1" applyBorder="1" applyAlignment="1">
      <alignment horizontal="center" vertical="center"/>
    </xf>
    <xf numFmtId="0" fontId="35" fillId="0" borderId="3" xfId="0" applyFont="1" applyBorder="1" applyAlignment="1">
      <alignment horizontal="center" vertical="center"/>
    </xf>
    <xf numFmtId="0" fontId="35" fillId="0" borderId="0" xfId="0" applyFont="1">
      <alignment vertical="center"/>
    </xf>
    <xf numFmtId="0" fontId="38" fillId="0" borderId="9" xfId="0" applyFont="1" applyBorder="1" applyAlignment="1">
      <alignment horizontal="center" vertical="center"/>
    </xf>
    <xf numFmtId="0" fontId="38" fillId="0" borderId="1" xfId="0" applyFont="1" applyBorder="1" applyAlignment="1">
      <alignment horizontal="center" vertical="center"/>
    </xf>
    <xf numFmtId="0" fontId="35" fillId="0" borderId="10" xfId="0" applyFont="1" applyBorder="1">
      <alignment vertical="center"/>
    </xf>
    <xf numFmtId="0" fontId="35" fillId="0" borderId="12" xfId="0" applyFont="1" applyBorder="1">
      <alignment vertical="center"/>
    </xf>
    <xf numFmtId="0" fontId="27" fillId="0" borderId="0" xfId="0" applyFont="1">
      <alignment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35" fillId="0" borderId="0" xfId="0" applyFont="1" applyAlignment="1">
      <alignment horizontal="left" vertical="center"/>
    </xf>
    <xf numFmtId="0" fontId="38" fillId="0" borderId="11" xfId="0" applyFont="1" applyBorder="1" applyAlignment="1">
      <alignment horizontal="center" vertical="center"/>
    </xf>
    <xf numFmtId="0" fontId="38" fillId="0" borderId="14" xfId="0" applyFont="1" applyBorder="1" applyAlignment="1">
      <alignment horizontal="center" vertical="center"/>
    </xf>
    <xf numFmtId="0" fontId="37" fillId="0" borderId="0" xfId="0" applyFont="1">
      <alignment vertical="center"/>
    </xf>
    <xf numFmtId="0" fontId="35" fillId="0" borderId="1" xfId="0" applyFont="1" applyBorder="1">
      <alignment vertical="center"/>
    </xf>
    <xf numFmtId="0" fontId="35" fillId="0" borderId="0" xfId="0" applyFont="1" applyAlignment="1">
      <alignment horizontal="center" vertical="center"/>
    </xf>
    <xf numFmtId="0" fontId="38" fillId="0" borderId="0" xfId="0" applyFont="1" applyAlignment="1">
      <alignment horizontal="center" vertical="center"/>
    </xf>
    <xf numFmtId="0" fontId="35" fillId="0" borderId="2" xfId="0" applyFont="1" applyBorder="1" applyAlignment="1">
      <alignment horizontal="center" vertical="center"/>
    </xf>
    <xf numFmtId="0" fontId="35" fillId="0" borderId="4" xfId="0" applyFont="1" applyBorder="1" applyAlignment="1">
      <alignment horizontal="center" vertical="center"/>
    </xf>
    <xf numFmtId="0" fontId="35" fillId="0" borderId="5" xfId="0" applyFont="1" applyBorder="1" applyAlignment="1">
      <alignment horizontal="center" vertical="center"/>
    </xf>
    <xf numFmtId="0" fontId="36" fillId="0" borderId="3" xfId="0" applyFont="1" applyBorder="1" applyAlignment="1">
      <alignment horizontal="center" vertical="center"/>
    </xf>
    <xf numFmtId="0" fontId="36" fillId="0" borderId="3" xfId="0" applyFont="1" applyBorder="1">
      <alignment vertical="center"/>
    </xf>
    <xf numFmtId="0" fontId="36" fillId="0" borderId="3" xfId="0" applyFont="1" applyBorder="1" applyAlignment="1">
      <alignment horizontal="left" vertical="center"/>
    </xf>
    <xf numFmtId="0" fontId="35" fillId="0" borderId="3" xfId="0" applyFont="1" applyBorder="1" applyAlignment="1">
      <alignment horizontal="left" vertical="center"/>
    </xf>
    <xf numFmtId="0" fontId="36" fillId="0" borderId="0" xfId="0" applyFont="1">
      <alignment vertical="center"/>
    </xf>
    <xf numFmtId="0" fontId="47" fillId="0" borderId="0" xfId="0" applyFont="1">
      <alignment vertical="center"/>
    </xf>
    <xf numFmtId="0" fontId="36" fillId="0" borderId="3" xfId="0" applyFont="1" applyBorder="1" applyAlignment="1">
      <alignment horizontal="left" vertical="center" shrinkToFit="1"/>
    </xf>
    <xf numFmtId="0" fontId="36" fillId="0" borderId="3" xfId="0" applyFont="1" applyBorder="1" applyAlignment="1">
      <alignment vertical="center" shrinkToFit="1"/>
    </xf>
    <xf numFmtId="56" fontId="27" fillId="0" borderId="4" xfId="0" applyNumberFormat="1" applyFont="1" applyBorder="1" applyAlignment="1">
      <alignment horizontal="center" vertical="center"/>
    </xf>
    <xf numFmtId="0" fontId="36" fillId="0" borderId="4" xfId="0" applyFont="1" applyBorder="1" applyAlignment="1">
      <alignment horizontal="left" vertical="center"/>
    </xf>
    <xf numFmtId="0" fontId="36" fillId="0" borderId="2" xfId="0" applyFont="1" applyBorder="1" applyAlignment="1">
      <alignment horizontal="left" vertical="center"/>
    </xf>
    <xf numFmtId="0" fontId="35" fillId="0" borderId="5" xfId="0" applyFont="1" applyBorder="1">
      <alignment vertical="center"/>
    </xf>
    <xf numFmtId="0" fontId="35" fillId="0" borderId="4" xfId="0" applyFont="1" applyBorder="1" applyAlignment="1">
      <alignment horizontal="left" vertical="center"/>
    </xf>
    <xf numFmtId="0" fontId="35" fillId="0" borderId="2" xfId="0" applyFont="1" applyBorder="1" applyAlignment="1">
      <alignment horizontal="left" vertical="center"/>
    </xf>
    <xf numFmtId="0" fontId="35" fillId="0" borderId="5" xfId="0" applyFont="1" applyBorder="1" applyAlignment="1">
      <alignment horizontal="left" vertical="center"/>
    </xf>
    <xf numFmtId="0" fontId="27" fillId="0" borderId="4" xfId="0" applyFont="1" applyBorder="1">
      <alignment vertical="center"/>
    </xf>
    <xf numFmtId="0" fontId="27" fillId="0" borderId="5" xfId="0" applyFont="1" applyBorder="1">
      <alignment vertical="center"/>
    </xf>
    <xf numFmtId="0" fontId="36" fillId="0" borderId="4" xfId="0" applyFont="1" applyBorder="1" applyAlignment="1">
      <alignment horizontal="center" vertical="center"/>
    </xf>
    <xf numFmtId="0" fontId="36" fillId="0" borderId="2" xfId="0" applyFont="1" applyBorder="1" applyAlignment="1">
      <alignment horizontal="center" vertical="center"/>
    </xf>
    <xf numFmtId="0" fontId="36" fillId="0" borderId="5" xfId="0" applyFont="1" applyBorder="1" applyAlignment="1">
      <alignment horizontal="center" vertical="center"/>
    </xf>
    <xf numFmtId="0" fontId="43" fillId="0" borderId="3" xfId="0" applyFont="1" applyBorder="1">
      <alignment vertical="center"/>
    </xf>
    <xf numFmtId="0" fontId="27" fillId="0" borderId="3" xfId="0" applyFont="1" applyBorder="1">
      <alignment vertical="center"/>
    </xf>
    <xf numFmtId="0" fontId="35" fillId="0" borderId="2" xfId="0" applyFont="1" applyBorder="1">
      <alignment vertical="center"/>
    </xf>
    <xf numFmtId="0" fontId="36" fillId="0" borderId="5" xfId="0" applyFont="1" applyBorder="1" applyAlignment="1">
      <alignment horizontal="left" vertical="center"/>
    </xf>
    <xf numFmtId="0" fontId="50" fillId="0" borderId="3" xfId="0" applyFont="1" applyBorder="1">
      <alignment vertical="center"/>
    </xf>
  </cellXfs>
  <cellStyles count="3">
    <cellStyle name="桁区切り" xfId="1" builtinId="6"/>
    <cellStyle name="通貨" xfId="2" builtinId="7"/>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13</xdr:col>
      <xdr:colOff>0</xdr:colOff>
      <xdr:row>123</xdr:row>
      <xdr:rowOff>32845</xdr:rowOff>
    </xdr:from>
    <xdr:ext cx="889234" cy="711639"/>
    <xdr:pic>
      <xdr:nvPicPr>
        <xdr:cNvPr id="6" name="図 5" descr="中部システムロゴ.png">
          <a:extLst>
            <a:ext uri="{FF2B5EF4-FFF2-40B4-BE49-F238E27FC236}">
              <a16:creationId xmlns:a16="http://schemas.microsoft.com/office/drawing/2014/main" id="{C46D69C7-19C9-4EE6-AC68-95EBBA6AA7AA}"/>
            </a:ext>
          </a:extLst>
        </xdr:cNvPr>
        <xdr:cNvPicPr>
          <a:picLocks noChangeAspect="1"/>
        </xdr:cNvPicPr>
      </xdr:nvPicPr>
      <xdr:blipFill>
        <a:blip xmlns:r="http://schemas.openxmlformats.org/officeDocument/2006/relationships" r:embed="rId1" cstate="print">
          <a:lum/>
        </a:blip>
        <a:stretch>
          <a:fillRect/>
        </a:stretch>
      </xdr:blipFill>
      <xdr:spPr>
        <a:xfrm>
          <a:off x="391348" y="21469569"/>
          <a:ext cx="889234" cy="71163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14</xdr:col>
      <xdr:colOff>0</xdr:colOff>
      <xdr:row>123</xdr:row>
      <xdr:rowOff>32845</xdr:rowOff>
    </xdr:from>
    <xdr:ext cx="889234" cy="711639"/>
    <xdr:pic>
      <xdr:nvPicPr>
        <xdr:cNvPr id="2" name="図 1" descr="中部システムロゴ.png">
          <a:extLst>
            <a:ext uri="{FF2B5EF4-FFF2-40B4-BE49-F238E27FC236}">
              <a16:creationId xmlns:a16="http://schemas.microsoft.com/office/drawing/2014/main" id="{00FCFE07-BB00-4EF7-8962-CA820CBE32E2}"/>
            </a:ext>
          </a:extLst>
        </xdr:cNvPr>
        <xdr:cNvPicPr>
          <a:picLocks noChangeAspect="1"/>
        </xdr:cNvPicPr>
      </xdr:nvPicPr>
      <xdr:blipFill>
        <a:blip xmlns:r="http://schemas.openxmlformats.org/officeDocument/2006/relationships" r:embed="rId1" cstate="print">
          <a:lum/>
        </a:blip>
        <a:stretch>
          <a:fillRect/>
        </a:stretch>
      </xdr:blipFill>
      <xdr:spPr>
        <a:xfrm>
          <a:off x="7905750" y="25807495"/>
          <a:ext cx="889234" cy="711639"/>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11.250\homes\&#20849;&#26377;&#12508;&#12483;&#12463;&#12473;\data\&#12461;&#12531;&#12488;&#12540;&#12531;&#20385;&#26684;&#34920;.xlsx" TargetMode="External"/><Relationship Id="rId1" Type="http://schemas.openxmlformats.org/officeDocument/2006/relationships/externalLinkPath" Target="file:///\\192.168.11.250\homes\&#20849;&#26377;&#12508;&#12483;&#12463;&#12473;\data\&#12461;&#12531;&#12488;&#12540;&#12531;&#20385;&#26684;&#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オイレス価格表24．11"/>
      <sheetName val="アイメイ"/>
      <sheetName val="豊和価格表"/>
      <sheetName val="Sheet1"/>
    </sheetNames>
    <sheetDataSet>
      <sheetData sheetId="0">
        <row r="4">
          <cell r="A4" t="str">
            <v>SLA80620-A-100</v>
          </cell>
          <cell r="B4" t="str">
            <v>ハンドルボックス１００フェースＡ</v>
          </cell>
          <cell r="C4">
            <v>9316</v>
          </cell>
          <cell r="D4">
            <v>14000</v>
          </cell>
          <cell r="E4">
            <v>15500</v>
          </cell>
          <cell r="F4">
            <v>18000</v>
          </cell>
        </row>
        <row r="5">
          <cell r="A5" t="str">
            <v>SLA80620-A-200</v>
          </cell>
          <cell r="B5" t="str">
            <v>ハンドルボックス１００本体</v>
          </cell>
          <cell r="C5">
            <v>9649</v>
          </cell>
          <cell r="D5">
            <v>14500</v>
          </cell>
          <cell r="E5">
            <v>16000</v>
          </cell>
          <cell r="F5">
            <v>19000</v>
          </cell>
        </row>
        <row r="6">
          <cell r="A6" t="str">
            <v>SLA80620-C-100</v>
          </cell>
          <cell r="B6" t="str">
            <v>ハンドルボックス１１０－2フェースＣ</v>
          </cell>
          <cell r="C6">
            <v>11947</v>
          </cell>
          <cell r="D6">
            <v>18000</v>
          </cell>
          <cell r="E6">
            <v>20000</v>
          </cell>
          <cell r="F6">
            <v>23000</v>
          </cell>
        </row>
        <row r="7">
          <cell r="A7" t="str">
            <v>SLA80620-D-100</v>
          </cell>
          <cell r="B7" t="str">
            <v>ハンドルボックス１５０フェース</v>
          </cell>
          <cell r="C7">
            <v>9272</v>
          </cell>
          <cell r="D7">
            <v>13900</v>
          </cell>
          <cell r="E7">
            <v>15500</v>
          </cell>
          <cell r="F7">
            <v>18000</v>
          </cell>
        </row>
        <row r="8">
          <cell r="A8" t="str">
            <v>SLA80620-D-200</v>
          </cell>
          <cell r="B8" t="str">
            <v>ハンドルボックス１５０本体</v>
          </cell>
          <cell r="C8">
            <v>11487</v>
          </cell>
          <cell r="D8">
            <v>17000</v>
          </cell>
          <cell r="E8">
            <v>19000</v>
          </cell>
          <cell r="F8">
            <v>21500</v>
          </cell>
        </row>
        <row r="9">
          <cell r="A9" t="str">
            <v>SLA80620-E-200</v>
          </cell>
          <cell r="B9" t="str">
            <v>過負荷防止機能付ハンドルボックス 110-6</v>
          </cell>
          <cell r="C9">
            <v>22128</v>
          </cell>
          <cell r="D9">
            <v>33000</v>
          </cell>
          <cell r="E9">
            <v>37000</v>
          </cell>
          <cell r="F9">
            <v>42500</v>
          </cell>
        </row>
        <row r="10">
          <cell r="A10" t="str">
            <v>SLA81511-A</v>
          </cell>
          <cell r="B10" t="str">
            <v>ハンドルボックス８０－3本体</v>
          </cell>
          <cell r="C10">
            <v>5140</v>
          </cell>
          <cell r="D10">
            <v>8000</v>
          </cell>
          <cell r="E10">
            <v>9000</v>
          </cell>
          <cell r="F10">
            <v>10000</v>
          </cell>
        </row>
        <row r="11">
          <cell r="A11" t="str">
            <v>SLA81410-A-200</v>
          </cell>
          <cell r="B11" t="str">
            <v>逆転防止ハンドル</v>
          </cell>
          <cell r="C11">
            <v>618</v>
          </cell>
          <cell r="D11">
            <v>1000</v>
          </cell>
          <cell r="E11">
            <v>1500</v>
          </cell>
          <cell r="F11">
            <v>2000</v>
          </cell>
        </row>
        <row r="12">
          <cell r="A12" t="str">
            <v>SLA81521-A</v>
          </cell>
          <cell r="B12" t="str">
            <v>ハンドルボックス８０－4</v>
          </cell>
          <cell r="C12">
            <v>7484</v>
          </cell>
          <cell r="D12">
            <v>12000</v>
          </cell>
          <cell r="E12">
            <v>14000</v>
          </cell>
          <cell r="F12">
            <v>15500</v>
          </cell>
        </row>
        <row r="13">
          <cell r="A13" t="str">
            <v>SLA82610-A-200</v>
          </cell>
          <cell r="B13" t="str">
            <v>ＨＢＯＸ１１０－３本体　露出</v>
          </cell>
          <cell r="C13">
            <v>10892</v>
          </cell>
          <cell r="D13">
            <v>16200</v>
          </cell>
          <cell r="E13">
            <v>18000</v>
          </cell>
          <cell r="F13">
            <v>20000</v>
          </cell>
        </row>
        <row r="14">
          <cell r="A14" t="str">
            <v>SLA82620-A-100</v>
          </cell>
          <cell r="B14" t="str">
            <v>HB110-3新フェ－ス</v>
          </cell>
          <cell r="C14">
            <v>6291</v>
          </cell>
          <cell r="D14">
            <v>9500</v>
          </cell>
          <cell r="E14">
            <v>11000</v>
          </cell>
          <cell r="F14">
            <v>12500</v>
          </cell>
        </row>
        <row r="15">
          <cell r="A15" t="str">
            <v>SLA82620-A-200</v>
          </cell>
          <cell r="B15" t="str">
            <v>ＨＢ１１０－3新本体</v>
          </cell>
          <cell r="C15">
            <v>7996</v>
          </cell>
          <cell r="D15">
            <v>12000</v>
          </cell>
          <cell r="E15">
            <v>13500</v>
          </cell>
          <cell r="F15">
            <v>15000</v>
          </cell>
        </row>
        <row r="16">
          <cell r="A16" t="str">
            <v>SLA82620-B-100</v>
          </cell>
          <cell r="B16" t="str">
            <v>ハンドルボックス１１０－4フェース</v>
          </cell>
          <cell r="C16">
            <v>6619</v>
          </cell>
          <cell r="D16">
            <v>10000</v>
          </cell>
          <cell r="E16">
            <v>11500</v>
          </cell>
          <cell r="F16">
            <v>13000</v>
          </cell>
        </row>
        <row r="17">
          <cell r="A17" t="str">
            <v>SLA83110-AL</v>
          </cell>
          <cell r="B17" t="str">
            <v>ボールチェーンＢＯＸ本体Ｌ</v>
          </cell>
          <cell r="C17">
            <v>5154</v>
          </cell>
          <cell r="D17">
            <v>8500</v>
          </cell>
          <cell r="E17">
            <v>9500</v>
          </cell>
          <cell r="F17">
            <v>11000</v>
          </cell>
        </row>
        <row r="18">
          <cell r="A18" t="str">
            <v>SLA83110-AR</v>
          </cell>
          <cell r="B18" t="str">
            <v>ボールチェーンＢＯＸ本体Ｒ</v>
          </cell>
          <cell r="C18">
            <v>5154</v>
          </cell>
          <cell r="D18">
            <v>8500</v>
          </cell>
          <cell r="E18">
            <v>9500</v>
          </cell>
          <cell r="F18">
            <v>11000</v>
          </cell>
        </row>
        <row r="19">
          <cell r="A19" t="str">
            <v>SLA83130-15</v>
          </cell>
          <cell r="B19" t="str">
            <v>ボールチェーン１．５Ｍ</v>
          </cell>
          <cell r="C19">
            <v>876</v>
          </cell>
          <cell r="D19">
            <v>1300</v>
          </cell>
          <cell r="E19">
            <v>1600</v>
          </cell>
          <cell r="F19">
            <v>1800</v>
          </cell>
        </row>
        <row r="20">
          <cell r="A20" t="str">
            <v>SLA83130-20</v>
          </cell>
          <cell r="B20" t="str">
            <v>ボールチェーン２．０Ｍ</v>
          </cell>
          <cell r="C20">
            <v>1140</v>
          </cell>
          <cell r="D20">
            <v>1800</v>
          </cell>
          <cell r="E20">
            <v>2100</v>
          </cell>
          <cell r="F20">
            <v>2300</v>
          </cell>
        </row>
        <row r="21">
          <cell r="A21" t="str">
            <v>SLA83130-25</v>
          </cell>
          <cell r="B21" t="str">
            <v>ボールチェーン２．５Ｍ</v>
          </cell>
          <cell r="C21">
            <v>1419</v>
          </cell>
          <cell r="D21">
            <v>2200</v>
          </cell>
          <cell r="E21">
            <v>2600</v>
          </cell>
          <cell r="F21">
            <v>2800</v>
          </cell>
        </row>
        <row r="22">
          <cell r="A22" t="str">
            <v>SLA83130-30</v>
          </cell>
          <cell r="B22" t="str">
            <v>ボールチェーン３．０Ｍ</v>
          </cell>
          <cell r="C22">
            <v>1791</v>
          </cell>
          <cell r="D22">
            <v>2700</v>
          </cell>
          <cell r="E22">
            <v>3200</v>
          </cell>
          <cell r="F22">
            <v>3500</v>
          </cell>
        </row>
        <row r="23">
          <cell r="A23" t="str">
            <v>SLA83130-40</v>
          </cell>
          <cell r="B23" t="str">
            <v>ボールチェーン４．０Ｍ</v>
          </cell>
          <cell r="C23">
            <v>2547</v>
          </cell>
          <cell r="D23">
            <v>3800</v>
          </cell>
          <cell r="E23">
            <v>4500</v>
          </cell>
          <cell r="F23">
            <v>4700</v>
          </cell>
        </row>
        <row r="24">
          <cell r="A24" t="str">
            <v>SLA83130-50</v>
          </cell>
          <cell r="B24" t="str">
            <v>ボールチェーン５．０Ｍ</v>
          </cell>
          <cell r="C24">
            <v>2668</v>
          </cell>
          <cell r="D24">
            <v>4600</v>
          </cell>
          <cell r="E24">
            <v>5600</v>
          </cell>
          <cell r="F24">
            <v>5600</v>
          </cell>
        </row>
        <row r="25">
          <cell r="A25" t="str">
            <v>SLB83110-AL</v>
          </cell>
          <cell r="B25" t="str">
            <v>ボールチェーンＢＯＸ本体Ｌブロンズ</v>
          </cell>
          <cell r="C25">
            <v>5048</v>
          </cell>
          <cell r="D25">
            <v>8500</v>
          </cell>
          <cell r="E25">
            <v>9500</v>
          </cell>
          <cell r="F25">
            <v>11000</v>
          </cell>
        </row>
        <row r="26">
          <cell r="A26" t="str">
            <v>SLB83110-AR</v>
          </cell>
          <cell r="B26" t="str">
            <v>ボールチェーンＢＯＸ本体Ｒブロンズ</v>
          </cell>
          <cell r="C26">
            <v>5048</v>
          </cell>
          <cell r="D26">
            <v>8500</v>
          </cell>
          <cell r="E26">
            <v>9500</v>
          </cell>
          <cell r="F26">
            <v>11000</v>
          </cell>
        </row>
        <row r="27">
          <cell r="A27" t="str">
            <v>SLZ82620-A-100</v>
          </cell>
          <cell r="B27" t="str">
            <v>ＨＢ１１０－3新フェースブラック</v>
          </cell>
          <cell r="C27">
            <v>8992</v>
          </cell>
          <cell r="D27">
            <v>13700</v>
          </cell>
          <cell r="E27">
            <v>16000</v>
          </cell>
          <cell r="F27">
            <v>18500</v>
          </cell>
        </row>
        <row r="28">
          <cell r="A28" t="str">
            <v>SLZ81511-A</v>
          </cell>
          <cell r="B28" t="str">
            <v>ハンドルボックス８０－3　ブラック</v>
          </cell>
          <cell r="C28">
            <v>8052</v>
          </cell>
          <cell r="D28">
            <v>12200</v>
          </cell>
          <cell r="E28">
            <v>14500</v>
          </cell>
          <cell r="F28">
            <v>16500</v>
          </cell>
        </row>
        <row r="29">
          <cell r="A29" t="str">
            <v>SLZ81410-A-200</v>
          </cell>
          <cell r="B29" t="str">
            <v>逆転防止ハンドルブラック</v>
          </cell>
          <cell r="C29">
            <v>1820</v>
          </cell>
          <cell r="D29">
            <v>3200</v>
          </cell>
          <cell r="E29">
            <v>3600</v>
          </cell>
          <cell r="F29">
            <v>4100</v>
          </cell>
        </row>
        <row r="30">
          <cell r="A30" t="str">
            <v>SLZ121-A</v>
          </cell>
          <cell r="B30" t="str">
            <v>15ΦオイルステイAブラック</v>
          </cell>
          <cell r="C30">
            <v>1570</v>
          </cell>
          <cell r="D30">
            <v>2400</v>
          </cell>
          <cell r="E30">
            <v>2700</v>
          </cell>
          <cell r="F30">
            <v>3100</v>
          </cell>
        </row>
        <row r="31">
          <cell r="A31" t="str">
            <v>SLZ121-C</v>
          </cell>
          <cell r="B31" t="str">
            <v>15ΦオイルステイCブラック</v>
          </cell>
          <cell r="C31">
            <v>5163</v>
          </cell>
          <cell r="D31">
            <v>7800</v>
          </cell>
          <cell r="E31">
            <v>9000</v>
          </cell>
          <cell r="F31">
            <v>10000</v>
          </cell>
        </row>
        <row r="32">
          <cell r="A32" t="str">
            <v>SLS81511-A</v>
          </cell>
          <cell r="B32" t="str">
            <v>ＨＢ８０－３耐蝕向上品</v>
          </cell>
          <cell r="C32">
            <v>7090</v>
          </cell>
          <cell r="D32">
            <v>11500</v>
          </cell>
          <cell r="E32">
            <v>12500</v>
          </cell>
          <cell r="F32">
            <v>13500</v>
          </cell>
        </row>
        <row r="33">
          <cell r="A33" t="str">
            <v>SLA81520-F</v>
          </cell>
          <cell r="B33" t="str">
            <v>ハンドルボックス80-7</v>
          </cell>
          <cell r="C33">
            <v>9880</v>
          </cell>
          <cell r="D33">
            <v>16000</v>
          </cell>
          <cell r="E33">
            <v>17500</v>
          </cell>
          <cell r="F33">
            <v>20500</v>
          </cell>
        </row>
        <row r="34">
          <cell r="A34" t="str">
            <v>SLA82610-C-200</v>
          </cell>
          <cell r="B34" t="str">
            <v>ＨＢＯＸ１１０－３Ｓ本体露出</v>
          </cell>
          <cell r="C34">
            <v>18165</v>
          </cell>
          <cell r="D34">
            <v>27200</v>
          </cell>
          <cell r="E34">
            <v>31500</v>
          </cell>
          <cell r="F34">
            <v>36500</v>
          </cell>
        </row>
        <row r="35">
          <cell r="A35" t="str">
            <v>SLA82620-C-200</v>
          </cell>
          <cell r="B35" t="str">
            <v>ＨＢＯＸ１１０－３Ｓ本体埋込</v>
          </cell>
          <cell r="C35">
            <v>11470</v>
          </cell>
          <cell r="D35">
            <v>17500</v>
          </cell>
          <cell r="E35">
            <v>20000</v>
          </cell>
          <cell r="F35">
            <v>25000</v>
          </cell>
        </row>
        <row r="36">
          <cell r="A36" t="str">
            <v>SLA82010-C-200</v>
          </cell>
          <cell r="B36" t="str">
            <v>ダンパーリモコン本体のみ</v>
          </cell>
          <cell r="C36">
            <v>36866</v>
          </cell>
          <cell r="D36">
            <v>56000</v>
          </cell>
          <cell r="E36">
            <v>65000</v>
          </cell>
          <cell r="F36">
            <v>75000</v>
          </cell>
        </row>
        <row r="37">
          <cell r="A37" t="str">
            <v>SLA81150-A</v>
          </cell>
          <cell r="B37" t="str">
            <v>逆転防止ハンドルＬ＝１００</v>
          </cell>
          <cell r="C37">
            <v>1257</v>
          </cell>
          <cell r="D37">
            <v>2000</v>
          </cell>
          <cell r="E37">
            <v>2500</v>
          </cell>
          <cell r="F37">
            <v>3000</v>
          </cell>
        </row>
        <row r="38">
          <cell r="A38" t="str">
            <v>SLA81511-A-104</v>
          </cell>
          <cell r="B38" t="str">
            <v>ＨＢ８０－ＩＩＩ用換気ボタン</v>
          </cell>
          <cell r="C38">
            <v>138</v>
          </cell>
          <cell r="D38">
            <v>300</v>
          </cell>
          <cell r="E38">
            <v>400</v>
          </cell>
          <cell r="F38">
            <v>500</v>
          </cell>
        </row>
        <row r="39">
          <cell r="A39" t="str">
            <v>SLA80620-B-125</v>
          </cell>
          <cell r="B39" t="str">
            <v>ＨＢ１００・１１０用換気押しボタン</v>
          </cell>
          <cell r="C39">
            <v>143</v>
          </cell>
          <cell r="D39">
            <v>200</v>
          </cell>
          <cell r="E39">
            <v>250</v>
          </cell>
          <cell r="F39">
            <v>250</v>
          </cell>
        </row>
        <row r="40">
          <cell r="A40" t="str">
            <v>SLA82620-A-110T</v>
          </cell>
          <cell r="B40" t="str">
            <v>ＨＢ１１０－Ⅲ換気ボタン</v>
          </cell>
          <cell r="C40">
            <v>143</v>
          </cell>
          <cell r="D40">
            <v>300</v>
          </cell>
          <cell r="E40">
            <v>400</v>
          </cell>
          <cell r="F40">
            <v>500</v>
          </cell>
        </row>
        <row r="41">
          <cell r="A41" t="str">
            <v>SLA82110-C-400</v>
          </cell>
          <cell r="B41" t="str">
            <v>ＳＬＥハンドル</v>
          </cell>
          <cell r="C41">
            <v>1304</v>
          </cell>
          <cell r="D41">
            <v>2500</v>
          </cell>
          <cell r="E41">
            <v>3000</v>
          </cell>
          <cell r="F41">
            <v>3500</v>
          </cell>
        </row>
        <row r="42">
          <cell r="A42" t="str">
            <v>SLA81605-A</v>
          </cell>
          <cell r="B42" t="str">
            <v>１５丸ステイＡ</v>
          </cell>
          <cell r="C42">
            <v>1801</v>
          </cell>
          <cell r="D42">
            <v>2700</v>
          </cell>
          <cell r="E42">
            <v>3100</v>
          </cell>
          <cell r="F42">
            <v>3600</v>
          </cell>
        </row>
        <row r="43">
          <cell r="A43" t="str">
            <v>SLA81605-B</v>
          </cell>
          <cell r="B43" t="str">
            <v>１５丸ステイＢ</v>
          </cell>
          <cell r="C43">
            <v>1879</v>
          </cell>
          <cell r="D43">
            <v>2800</v>
          </cell>
          <cell r="E43">
            <v>3200</v>
          </cell>
          <cell r="F43">
            <v>3700</v>
          </cell>
        </row>
        <row r="44">
          <cell r="A44" t="str">
            <v>SLA81605-C</v>
          </cell>
          <cell r="B44" t="str">
            <v>１５丸ステイＣ</v>
          </cell>
          <cell r="C44">
            <v>1961</v>
          </cell>
          <cell r="D44">
            <v>2900</v>
          </cell>
          <cell r="E44">
            <v>3300</v>
          </cell>
          <cell r="F44">
            <v>3800</v>
          </cell>
        </row>
        <row r="45">
          <cell r="A45" t="str">
            <v>SLA81605-D</v>
          </cell>
          <cell r="B45" t="str">
            <v>１５丸ステイＤ</v>
          </cell>
          <cell r="C45">
            <v>5377</v>
          </cell>
          <cell r="D45">
            <v>8000</v>
          </cell>
          <cell r="E45">
            <v>9000</v>
          </cell>
          <cell r="F45">
            <v>11000</v>
          </cell>
        </row>
        <row r="46">
          <cell r="A46" t="str">
            <v>SLA81605-E</v>
          </cell>
          <cell r="B46" t="str">
            <v>１５丸ステイＥ</v>
          </cell>
          <cell r="C46">
            <v>6018</v>
          </cell>
          <cell r="D46">
            <v>9000</v>
          </cell>
          <cell r="E46">
            <v>10500</v>
          </cell>
          <cell r="F46">
            <v>12000</v>
          </cell>
        </row>
        <row r="47">
          <cell r="A47" t="str">
            <v>SLB81605-A</v>
          </cell>
          <cell r="B47" t="str">
            <v>１５丸ステイＡブロンズ</v>
          </cell>
          <cell r="C47">
            <v>1772</v>
          </cell>
          <cell r="D47">
            <v>2650</v>
          </cell>
          <cell r="E47">
            <v>3000</v>
          </cell>
          <cell r="F47">
            <v>3500</v>
          </cell>
        </row>
        <row r="48">
          <cell r="A48" t="str">
            <v>SLB81605-B</v>
          </cell>
          <cell r="B48" t="str">
            <v>１５丸ステイＢブロンズ</v>
          </cell>
          <cell r="C48">
            <v>1832</v>
          </cell>
          <cell r="D48">
            <v>2750</v>
          </cell>
          <cell r="E48">
            <v>3000</v>
          </cell>
          <cell r="F48">
            <v>3500</v>
          </cell>
        </row>
        <row r="49">
          <cell r="A49" t="str">
            <v>SLB81605-C</v>
          </cell>
          <cell r="B49" t="str">
            <v>１５丸ステイＣブロンズ</v>
          </cell>
          <cell r="C49">
            <v>1874</v>
          </cell>
          <cell r="D49">
            <v>2800</v>
          </cell>
          <cell r="E49">
            <v>3200</v>
          </cell>
          <cell r="F49">
            <v>3800</v>
          </cell>
        </row>
        <row r="50">
          <cell r="A50" t="str">
            <v>SLB81605-D</v>
          </cell>
          <cell r="B50" t="str">
            <v>１５丸ステイＤブロンズ</v>
          </cell>
          <cell r="C50">
            <v>1827</v>
          </cell>
          <cell r="D50">
            <v>2850</v>
          </cell>
          <cell r="E50">
            <v>3300</v>
          </cell>
          <cell r="F50">
            <v>3800</v>
          </cell>
        </row>
        <row r="51">
          <cell r="A51" t="str">
            <v>SLB81605-E</v>
          </cell>
          <cell r="B51" t="str">
            <v>１５丸ステイＥブロンズ</v>
          </cell>
          <cell r="C51">
            <v>1608</v>
          </cell>
          <cell r="D51">
            <v>2450</v>
          </cell>
          <cell r="E51">
            <v>2900</v>
          </cell>
          <cell r="F51">
            <v>3300</v>
          </cell>
        </row>
        <row r="52">
          <cell r="A52" t="str">
            <v>SLA80505-AO</v>
          </cell>
          <cell r="B52" t="str">
            <v>丸ステイＡ</v>
          </cell>
          <cell r="C52">
            <v>1382</v>
          </cell>
          <cell r="D52">
            <v>2100</v>
          </cell>
          <cell r="E52">
            <v>2300</v>
          </cell>
          <cell r="F52">
            <v>2600</v>
          </cell>
        </row>
        <row r="53">
          <cell r="A53" t="str">
            <v>SLA80505-BO</v>
          </cell>
          <cell r="B53" t="str">
            <v>丸ステイＢ</v>
          </cell>
          <cell r="C53">
            <v>1440</v>
          </cell>
          <cell r="D53">
            <v>2150</v>
          </cell>
          <cell r="E53">
            <v>2400</v>
          </cell>
          <cell r="F53">
            <v>2700</v>
          </cell>
        </row>
        <row r="54">
          <cell r="A54" t="str">
            <v>SLA80505-CO</v>
          </cell>
          <cell r="B54" t="str">
            <v>丸ステイＣ</v>
          </cell>
          <cell r="C54">
            <v>1502</v>
          </cell>
          <cell r="D54">
            <v>2250</v>
          </cell>
          <cell r="E54">
            <v>2500</v>
          </cell>
          <cell r="F54">
            <v>2800</v>
          </cell>
        </row>
        <row r="55">
          <cell r="A55" t="str">
            <v>SLA80505-DO</v>
          </cell>
          <cell r="B55" t="str">
            <v>丸ステイＤ</v>
          </cell>
          <cell r="C55">
            <v>1562</v>
          </cell>
          <cell r="D55">
            <v>2300</v>
          </cell>
          <cell r="E55">
            <v>2600</v>
          </cell>
          <cell r="F55">
            <v>2900</v>
          </cell>
        </row>
        <row r="56">
          <cell r="A56" t="str">
            <v>SLA80505-EO</v>
          </cell>
          <cell r="B56" t="str">
            <v>丸ステイＥ</v>
          </cell>
          <cell r="C56">
            <v>1632</v>
          </cell>
          <cell r="D56">
            <v>2400</v>
          </cell>
          <cell r="E56">
            <v>2700</v>
          </cell>
          <cell r="F56">
            <v>3000</v>
          </cell>
        </row>
        <row r="57">
          <cell r="A57" t="str">
            <v>SLA80505-FO</v>
          </cell>
          <cell r="B57" t="str">
            <v>丸ステイＦ</v>
          </cell>
          <cell r="C57">
            <v>1439</v>
          </cell>
          <cell r="D57">
            <v>2150</v>
          </cell>
          <cell r="E57">
            <v>2400</v>
          </cell>
          <cell r="F57">
            <v>2700</v>
          </cell>
        </row>
        <row r="58">
          <cell r="A58" t="str">
            <v>SLA80505-MAO</v>
          </cell>
          <cell r="B58" t="str">
            <v>丸ステイミニＡ</v>
          </cell>
          <cell r="C58">
            <v>1580</v>
          </cell>
          <cell r="D58">
            <v>2350</v>
          </cell>
          <cell r="E58">
            <v>2700</v>
          </cell>
          <cell r="F58">
            <v>3100</v>
          </cell>
        </row>
        <row r="59">
          <cell r="A59" t="str">
            <v>SLA80505-MBO</v>
          </cell>
          <cell r="B59" t="str">
            <v>丸ステイミニＢ</v>
          </cell>
          <cell r="C59">
            <v>1580</v>
          </cell>
          <cell r="D59">
            <v>2350</v>
          </cell>
          <cell r="E59">
            <v>2700</v>
          </cell>
          <cell r="F59">
            <v>3100</v>
          </cell>
        </row>
        <row r="60">
          <cell r="A60" t="str">
            <v>SLA80505-MCO</v>
          </cell>
          <cell r="B60" t="str">
            <v>丸ステイミニＣ</v>
          </cell>
          <cell r="C60">
            <v>1649</v>
          </cell>
          <cell r="D60">
            <v>2450</v>
          </cell>
          <cell r="E60">
            <v>2800</v>
          </cell>
          <cell r="F60">
            <v>3200</v>
          </cell>
        </row>
        <row r="61">
          <cell r="A61" t="str">
            <v>SLB80505-AO</v>
          </cell>
          <cell r="B61" t="str">
            <v>丸ステイＡブロンズ</v>
          </cell>
          <cell r="C61">
            <v>1421</v>
          </cell>
          <cell r="D61">
            <v>2100</v>
          </cell>
          <cell r="E61">
            <v>2300</v>
          </cell>
          <cell r="F61">
            <v>2600</v>
          </cell>
        </row>
        <row r="62">
          <cell r="A62" t="str">
            <v>SLB80505-BO</v>
          </cell>
          <cell r="B62" t="str">
            <v>丸ステイＢブロンズ</v>
          </cell>
          <cell r="C62">
            <v>1497</v>
          </cell>
          <cell r="D62">
            <v>2150</v>
          </cell>
          <cell r="E62">
            <v>2400</v>
          </cell>
          <cell r="F62">
            <v>2700</v>
          </cell>
        </row>
        <row r="63">
          <cell r="A63" t="str">
            <v>SLB80505-CO</v>
          </cell>
          <cell r="B63" t="str">
            <v>丸ステイＣブロンズ</v>
          </cell>
          <cell r="C63">
            <v>1585</v>
          </cell>
          <cell r="D63">
            <v>2250</v>
          </cell>
          <cell r="E63">
            <v>2500</v>
          </cell>
          <cell r="F63">
            <v>2800</v>
          </cell>
        </row>
        <row r="64">
          <cell r="A64" t="str">
            <v>SLB80505-DO</v>
          </cell>
          <cell r="B64" t="str">
            <v>丸ステイＤブロンズ</v>
          </cell>
          <cell r="C64">
            <v>1644</v>
          </cell>
          <cell r="D64">
            <v>2300</v>
          </cell>
          <cell r="E64">
            <v>2600</v>
          </cell>
          <cell r="F64">
            <v>2900</v>
          </cell>
        </row>
        <row r="65">
          <cell r="A65" t="str">
            <v>SLB80505-EO</v>
          </cell>
          <cell r="B65" t="str">
            <v>丸ステイＥブロンズ</v>
          </cell>
          <cell r="C65">
            <v>1709</v>
          </cell>
          <cell r="D65">
            <v>2400</v>
          </cell>
          <cell r="E65">
            <v>2700</v>
          </cell>
          <cell r="F65">
            <v>3000</v>
          </cell>
        </row>
        <row r="66">
          <cell r="A66" t="str">
            <v>SLB80505-FO</v>
          </cell>
          <cell r="B66" t="str">
            <v>丸ステイＦブロンズ</v>
          </cell>
          <cell r="C66">
            <v>1484</v>
          </cell>
          <cell r="D66">
            <v>2150</v>
          </cell>
          <cell r="E66">
            <v>2400</v>
          </cell>
          <cell r="F66">
            <v>2700</v>
          </cell>
        </row>
        <row r="67">
          <cell r="A67" t="str">
            <v>SLB80505-MAO</v>
          </cell>
          <cell r="B67" t="str">
            <v>丸ステイミニＡブロンズ</v>
          </cell>
          <cell r="C67">
            <v>1580</v>
          </cell>
          <cell r="D67">
            <v>2350</v>
          </cell>
          <cell r="E67">
            <v>2700</v>
          </cell>
          <cell r="F67">
            <v>3100</v>
          </cell>
        </row>
        <row r="68">
          <cell r="A68" t="str">
            <v>SLB80505-MBO</v>
          </cell>
          <cell r="B68" t="str">
            <v>丸ステイミニＢブロンズ</v>
          </cell>
          <cell r="C68">
            <v>1580</v>
          </cell>
          <cell r="D68">
            <v>2350</v>
          </cell>
          <cell r="E68">
            <v>2700</v>
          </cell>
          <cell r="F68">
            <v>3100</v>
          </cell>
        </row>
        <row r="69">
          <cell r="A69" t="str">
            <v>SLB80505-MCO</v>
          </cell>
          <cell r="B69" t="str">
            <v>丸ステイミニＣブロンズ</v>
          </cell>
          <cell r="C69">
            <v>1652</v>
          </cell>
          <cell r="D69">
            <v>2450</v>
          </cell>
          <cell r="E69">
            <v>2800</v>
          </cell>
          <cell r="F69">
            <v>3200</v>
          </cell>
        </row>
        <row r="70">
          <cell r="A70" t="str">
            <v>TSA-80309</v>
          </cell>
          <cell r="B70" t="str">
            <v>ビスセットシルバ－耐蝕向上品</v>
          </cell>
          <cell r="C70">
            <v>422</v>
          </cell>
          <cell r="D70">
            <v>600</v>
          </cell>
          <cell r="E70">
            <v>1000</v>
          </cell>
          <cell r="F70">
            <v>1000</v>
          </cell>
        </row>
        <row r="71">
          <cell r="A71" t="str">
            <v>TSB-80309</v>
          </cell>
          <cell r="B71" t="str">
            <v>ビスセットブロンズ耐蝕向上品</v>
          </cell>
          <cell r="C71">
            <v>422</v>
          </cell>
          <cell r="D71">
            <v>600</v>
          </cell>
          <cell r="E71">
            <v>1000</v>
          </cell>
          <cell r="F71">
            <v>1000</v>
          </cell>
        </row>
        <row r="72">
          <cell r="A72" t="str">
            <v>SLA90105-AO</v>
          </cell>
          <cell r="B72" t="str">
            <v>丸ステイ２８パイＡ</v>
          </cell>
          <cell r="C72">
            <v>10429</v>
          </cell>
          <cell r="D72">
            <v>15700</v>
          </cell>
          <cell r="E72">
            <v>18500</v>
          </cell>
          <cell r="F72">
            <v>20500</v>
          </cell>
        </row>
        <row r="73">
          <cell r="A73" t="str">
            <v>SLA90105-BO</v>
          </cell>
          <cell r="B73" t="str">
            <v>丸ステイ２８パイＢ</v>
          </cell>
          <cell r="C73">
            <v>12247</v>
          </cell>
          <cell r="D73">
            <v>18300</v>
          </cell>
          <cell r="E73">
            <v>21300</v>
          </cell>
          <cell r="F73">
            <v>24300</v>
          </cell>
        </row>
        <row r="74">
          <cell r="A74" t="str">
            <v>SLA90105-CO</v>
          </cell>
          <cell r="B74" t="str">
            <v>丸ステイ２８パイＣ</v>
          </cell>
          <cell r="C74">
            <v>13980</v>
          </cell>
          <cell r="D74">
            <v>21300</v>
          </cell>
          <cell r="E74">
            <v>24300</v>
          </cell>
          <cell r="F74">
            <v>27800</v>
          </cell>
        </row>
        <row r="75">
          <cell r="A75" t="str">
            <v>GS22115-K1</v>
          </cell>
          <cell r="B75" t="str">
            <v>ガスステイ</v>
          </cell>
          <cell r="C75">
            <v>1793</v>
          </cell>
          <cell r="D75">
            <v>2600</v>
          </cell>
          <cell r="E75">
            <v>3100</v>
          </cell>
          <cell r="F75">
            <v>3500</v>
          </cell>
        </row>
        <row r="76">
          <cell r="A76" t="str">
            <v>GS22115-K11</v>
          </cell>
          <cell r="B76" t="str">
            <v>ガスステイ</v>
          </cell>
          <cell r="C76">
            <v>1770</v>
          </cell>
          <cell r="D76">
            <v>2600</v>
          </cell>
          <cell r="E76">
            <v>3100</v>
          </cell>
          <cell r="F76">
            <v>3500</v>
          </cell>
        </row>
        <row r="77">
          <cell r="A77" t="str">
            <v>GS22120-K1</v>
          </cell>
          <cell r="B77" t="str">
            <v>ガスステイ</v>
          </cell>
          <cell r="C77">
            <v>1793</v>
          </cell>
          <cell r="D77">
            <v>2600</v>
          </cell>
          <cell r="E77">
            <v>3100</v>
          </cell>
          <cell r="F77">
            <v>3500</v>
          </cell>
        </row>
        <row r="78">
          <cell r="A78" t="str">
            <v>GS22120-K11</v>
          </cell>
          <cell r="B78" t="str">
            <v>ガスステイ</v>
          </cell>
          <cell r="C78">
            <v>1770</v>
          </cell>
          <cell r="D78">
            <v>2600</v>
          </cell>
          <cell r="E78">
            <v>3100</v>
          </cell>
          <cell r="F78">
            <v>3500</v>
          </cell>
        </row>
        <row r="79">
          <cell r="A79" t="str">
            <v>GS22126-18</v>
          </cell>
          <cell r="B79" t="str">
            <v>ガスステイ</v>
          </cell>
          <cell r="C79">
            <v>2107</v>
          </cell>
          <cell r="D79">
            <v>3100</v>
          </cell>
          <cell r="E79">
            <v>3600</v>
          </cell>
          <cell r="F79">
            <v>4100</v>
          </cell>
        </row>
        <row r="80">
          <cell r="A80" t="str">
            <v>GS28119-K1</v>
          </cell>
          <cell r="B80" t="str">
            <v>ガスステイ</v>
          </cell>
          <cell r="C80">
            <v>1793</v>
          </cell>
          <cell r="D80">
            <v>2600</v>
          </cell>
          <cell r="E80">
            <v>3100</v>
          </cell>
          <cell r="F80">
            <v>3500</v>
          </cell>
        </row>
        <row r="81">
          <cell r="A81" t="str">
            <v>GS28119-K11</v>
          </cell>
          <cell r="B81" t="str">
            <v>ガスステイ</v>
          </cell>
          <cell r="C81">
            <v>1770</v>
          </cell>
          <cell r="D81">
            <v>2600</v>
          </cell>
          <cell r="E81">
            <v>3100</v>
          </cell>
          <cell r="F81">
            <v>3500</v>
          </cell>
        </row>
        <row r="82">
          <cell r="A82" t="str">
            <v>GS28125-18</v>
          </cell>
          <cell r="B82" t="str">
            <v>ガスステイ</v>
          </cell>
          <cell r="C82">
            <v>2124</v>
          </cell>
          <cell r="D82">
            <v>3100</v>
          </cell>
          <cell r="E82">
            <v>3500</v>
          </cell>
          <cell r="F82">
            <v>4000</v>
          </cell>
        </row>
        <row r="83">
          <cell r="A83" t="str">
            <v>GS29018-18</v>
          </cell>
          <cell r="B83" t="str">
            <v>ガスステイ１８パイ</v>
          </cell>
          <cell r="C83">
            <v>1991</v>
          </cell>
          <cell r="D83">
            <v>3000</v>
          </cell>
          <cell r="E83">
            <v>3500</v>
          </cell>
          <cell r="F83">
            <v>4000</v>
          </cell>
        </row>
        <row r="84">
          <cell r="A84" t="str">
            <v>GS35018-18</v>
          </cell>
          <cell r="B84" t="str">
            <v>ガスステイ１８パイ</v>
          </cell>
          <cell r="C84">
            <v>2018</v>
          </cell>
          <cell r="D84">
            <v>3000</v>
          </cell>
          <cell r="E84">
            <v>3600</v>
          </cell>
          <cell r="F84">
            <v>4100</v>
          </cell>
        </row>
        <row r="85">
          <cell r="A85" t="str">
            <v>GS35021-18</v>
          </cell>
          <cell r="B85" t="str">
            <v>ガスステイ１８パイ</v>
          </cell>
          <cell r="C85">
            <v>2097</v>
          </cell>
          <cell r="D85">
            <v>3100</v>
          </cell>
          <cell r="E85">
            <v>3600</v>
          </cell>
          <cell r="F85">
            <v>4100</v>
          </cell>
        </row>
        <row r="86">
          <cell r="A86" t="str">
            <v>GS35025-K1</v>
          </cell>
          <cell r="B86" t="str">
            <v>ガスステイ</v>
          </cell>
          <cell r="C86">
            <v>2176</v>
          </cell>
          <cell r="D86">
            <v>3200</v>
          </cell>
          <cell r="E86">
            <v>3700</v>
          </cell>
          <cell r="F86">
            <v>4300</v>
          </cell>
        </row>
        <row r="87">
          <cell r="A87" t="str">
            <v>GS35025-15</v>
          </cell>
          <cell r="B87" t="str">
            <v>ガスステイ１５パイ</v>
          </cell>
          <cell r="C87">
            <v>2340</v>
          </cell>
          <cell r="D87">
            <v>3300</v>
          </cell>
          <cell r="E87">
            <v>3800</v>
          </cell>
          <cell r="F87">
            <v>4500</v>
          </cell>
        </row>
        <row r="88">
          <cell r="A88" t="str">
            <v>GS35030-18</v>
          </cell>
          <cell r="B88" t="str">
            <v>ガスステイ</v>
          </cell>
          <cell r="C88">
            <v>2034</v>
          </cell>
          <cell r="D88">
            <v>3000</v>
          </cell>
          <cell r="E88">
            <v>3500</v>
          </cell>
          <cell r="F88">
            <v>4000</v>
          </cell>
        </row>
        <row r="89">
          <cell r="A89" t="str">
            <v>GS35034-K1</v>
          </cell>
          <cell r="B89" t="str">
            <v>ガスステイ</v>
          </cell>
          <cell r="C89">
            <v>2175</v>
          </cell>
          <cell r="D89">
            <v>3200</v>
          </cell>
          <cell r="E89">
            <v>3700</v>
          </cell>
          <cell r="F89">
            <v>4300</v>
          </cell>
        </row>
        <row r="90">
          <cell r="A90" t="str">
            <v>GS36011-K1</v>
          </cell>
          <cell r="B90" t="str">
            <v>ガスステイ</v>
          </cell>
          <cell r="C90">
            <v>1916</v>
          </cell>
          <cell r="D90">
            <v>2850</v>
          </cell>
          <cell r="E90">
            <v>3200</v>
          </cell>
          <cell r="F90">
            <v>3800</v>
          </cell>
        </row>
        <row r="91">
          <cell r="A91" t="str">
            <v>GS42519-18</v>
          </cell>
          <cell r="B91" t="str">
            <v>ガスステイ１８パイ</v>
          </cell>
          <cell r="C91">
            <v>1991</v>
          </cell>
          <cell r="D91">
            <v>3200</v>
          </cell>
          <cell r="E91">
            <v>3600</v>
          </cell>
          <cell r="F91">
            <v>3900</v>
          </cell>
        </row>
        <row r="92">
          <cell r="A92" t="str">
            <v>GS42523-18</v>
          </cell>
          <cell r="B92" t="str">
            <v>ガスステイ１８パイ</v>
          </cell>
          <cell r="C92">
            <v>2097</v>
          </cell>
          <cell r="D92">
            <v>3100</v>
          </cell>
          <cell r="E92">
            <v>3600</v>
          </cell>
          <cell r="F92">
            <v>4100</v>
          </cell>
        </row>
        <row r="93">
          <cell r="A93" t="str">
            <v>GS42525-15</v>
          </cell>
          <cell r="B93" t="str">
            <v>ガスステイ１５パイ</v>
          </cell>
          <cell r="C93">
            <v>2464</v>
          </cell>
          <cell r="D93">
            <v>3550</v>
          </cell>
          <cell r="E93">
            <v>4150</v>
          </cell>
          <cell r="F93">
            <v>4800</v>
          </cell>
        </row>
        <row r="94">
          <cell r="A94" t="str">
            <v>GS42533-18</v>
          </cell>
          <cell r="B94" t="str">
            <v>ガスステイ</v>
          </cell>
          <cell r="C94">
            <v>2071</v>
          </cell>
          <cell r="D94">
            <v>3000</v>
          </cell>
          <cell r="E94">
            <v>3500</v>
          </cell>
          <cell r="F94">
            <v>4000</v>
          </cell>
        </row>
        <row r="95">
          <cell r="A95" t="str">
            <v>GS49220-K1</v>
          </cell>
          <cell r="B95" t="str">
            <v>ガスステイ</v>
          </cell>
          <cell r="C95">
            <v>1916</v>
          </cell>
          <cell r="D95">
            <v>2850</v>
          </cell>
          <cell r="E95">
            <v>3300</v>
          </cell>
          <cell r="F95">
            <v>4000</v>
          </cell>
        </row>
        <row r="96">
          <cell r="A96" t="str">
            <v>GS50019-18</v>
          </cell>
          <cell r="B96" t="str">
            <v>ガスステイ１８パイ</v>
          </cell>
          <cell r="C96">
            <v>2069</v>
          </cell>
          <cell r="D96">
            <v>3100</v>
          </cell>
          <cell r="E96">
            <v>3500</v>
          </cell>
          <cell r="F96">
            <v>4000</v>
          </cell>
        </row>
        <row r="97">
          <cell r="A97" t="str">
            <v>GS50024-18</v>
          </cell>
          <cell r="B97" t="str">
            <v>ガスステイ１８パイ</v>
          </cell>
          <cell r="C97">
            <v>2175</v>
          </cell>
          <cell r="D97">
            <v>3200</v>
          </cell>
          <cell r="E97">
            <v>3800</v>
          </cell>
          <cell r="F97">
            <v>4500</v>
          </cell>
        </row>
        <row r="98">
          <cell r="A98" t="str">
            <v>GS50025-15</v>
          </cell>
          <cell r="B98" t="str">
            <v>ガスステイ１５パイ</v>
          </cell>
          <cell r="C98">
            <v>2523</v>
          </cell>
          <cell r="D98">
            <v>3700</v>
          </cell>
          <cell r="E98">
            <v>4300</v>
          </cell>
          <cell r="F98">
            <v>5000</v>
          </cell>
        </row>
        <row r="99">
          <cell r="A99" t="str">
            <v>GS50027-K1</v>
          </cell>
          <cell r="B99" t="str">
            <v>ガスステイ</v>
          </cell>
          <cell r="C99">
            <v>2176</v>
          </cell>
          <cell r="D99">
            <v>3200</v>
          </cell>
          <cell r="E99">
            <v>3800</v>
          </cell>
          <cell r="F99">
            <v>4500</v>
          </cell>
        </row>
        <row r="100">
          <cell r="A100" t="str">
            <v>GS50033-18</v>
          </cell>
          <cell r="B100" t="str">
            <v>ガスステイ</v>
          </cell>
          <cell r="C100">
            <v>2140</v>
          </cell>
          <cell r="D100">
            <v>3200</v>
          </cell>
          <cell r="E100">
            <v>3600</v>
          </cell>
          <cell r="F100">
            <v>4000</v>
          </cell>
        </row>
        <row r="101">
          <cell r="A101" t="str">
            <v>GS50040-K1</v>
          </cell>
          <cell r="B101" t="str">
            <v>ガスステイ</v>
          </cell>
          <cell r="C101">
            <v>2175</v>
          </cell>
          <cell r="D101">
            <v>3200</v>
          </cell>
          <cell r="E101">
            <v>3800</v>
          </cell>
          <cell r="F101">
            <v>4500</v>
          </cell>
        </row>
        <row r="102">
          <cell r="A102" t="str">
            <v>GS55025-15</v>
          </cell>
          <cell r="B102" t="str">
            <v>ガスステイ１５パイ</v>
          </cell>
          <cell r="C102">
            <v>2582</v>
          </cell>
          <cell r="D102">
            <v>3850</v>
          </cell>
          <cell r="E102">
            <v>4400</v>
          </cell>
          <cell r="F102">
            <v>5000</v>
          </cell>
        </row>
        <row r="103">
          <cell r="A103" t="str">
            <v>GS57519-18</v>
          </cell>
          <cell r="B103" t="str">
            <v>ガスステイ１８パイ</v>
          </cell>
          <cell r="C103">
            <v>2069</v>
          </cell>
          <cell r="D103">
            <v>3100</v>
          </cell>
          <cell r="E103">
            <v>3500</v>
          </cell>
          <cell r="F103">
            <v>4000</v>
          </cell>
        </row>
        <row r="104">
          <cell r="A104" t="str">
            <v>GS57525-18</v>
          </cell>
          <cell r="B104" t="str">
            <v>ガスステイ１８パイ</v>
          </cell>
          <cell r="C104">
            <v>2175</v>
          </cell>
          <cell r="D104">
            <v>3200</v>
          </cell>
          <cell r="E104">
            <v>3800</v>
          </cell>
          <cell r="F104">
            <v>4500</v>
          </cell>
        </row>
        <row r="105">
          <cell r="A105" t="str">
            <v>GS57533-18</v>
          </cell>
          <cell r="B105" t="str">
            <v>ガスステイ</v>
          </cell>
          <cell r="C105">
            <v>2147</v>
          </cell>
          <cell r="D105">
            <v>3200</v>
          </cell>
          <cell r="E105">
            <v>3600</v>
          </cell>
          <cell r="F105">
            <v>4000</v>
          </cell>
        </row>
        <row r="106">
          <cell r="A106" t="str">
            <v>GS64419-18</v>
          </cell>
          <cell r="B106" t="str">
            <v>ガスステイ１８パイ</v>
          </cell>
          <cell r="C106">
            <v>2069</v>
          </cell>
          <cell r="D106">
            <v>3100</v>
          </cell>
          <cell r="E106">
            <v>3500</v>
          </cell>
          <cell r="F106">
            <v>4000</v>
          </cell>
        </row>
        <row r="107">
          <cell r="A107" t="str">
            <v>GS64425-15</v>
          </cell>
          <cell r="B107" t="str">
            <v>ガスステイ１５パイ</v>
          </cell>
          <cell r="C107">
            <v>2635</v>
          </cell>
          <cell r="D107">
            <v>3900</v>
          </cell>
          <cell r="E107">
            <v>4500</v>
          </cell>
          <cell r="F107">
            <v>5000</v>
          </cell>
        </row>
        <row r="108">
          <cell r="A108" t="str">
            <v>GS64425-18</v>
          </cell>
          <cell r="B108" t="str">
            <v>ガスステイ１８パイ</v>
          </cell>
          <cell r="C108">
            <v>2175</v>
          </cell>
          <cell r="D108">
            <v>3200</v>
          </cell>
          <cell r="E108">
            <v>3800</v>
          </cell>
          <cell r="F108">
            <v>4500</v>
          </cell>
        </row>
        <row r="109">
          <cell r="A109" t="str">
            <v>GS64433-18</v>
          </cell>
          <cell r="B109" t="str">
            <v>ガスステイ</v>
          </cell>
          <cell r="C109">
            <v>2242</v>
          </cell>
          <cell r="D109">
            <v>3300</v>
          </cell>
          <cell r="E109">
            <v>3800</v>
          </cell>
          <cell r="F109">
            <v>4500</v>
          </cell>
        </row>
        <row r="110">
          <cell r="A110" t="str">
            <v>GS64443-K1</v>
          </cell>
          <cell r="B110" t="str">
            <v>ガスステイ</v>
          </cell>
          <cell r="C110">
            <v>2176</v>
          </cell>
          <cell r="D110">
            <v>3200</v>
          </cell>
          <cell r="E110">
            <v>4000</v>
          </cell>
          <cell r="F110">
            <v>4500</v>
          </cell>
        </row>
        <row r="111">
          <cell r="A111" t="str">
            <v>GS64455-K1</v>
          </cell>
          <cell r="B111" t="str">
            <v>ガスステイ</v>
          </cell>
          <cell r="C111">
            <v>2175</v>
          </cell>
          <cell r="D111">
            <v>3200</v>
          </cell>
          <cell r="E111">
            <v>4000</v>
          </cell>
          <cell r="F111">
            <v>4500</v>
          </cell>
        </row>
        <row r="112">
          <cell r="A112" t="str">
            <v>GS64475-K1</v>
          </cell>
          <cell r="B112" t="str">
            <v>ガスステイ</v>
          </cell>
          <cell r="C112">
            <v>2145</v>
          </cell>
          <cell r="D112">
            <v>3200</v>
          </cell>
          <cell r="E112">
            <v>3600</v>
          </cell>
          <cell r="F112">
            <v>4000</v>
          </cell>
        </row>
        <row r="113">
          <cell r="A113" t="str">
            <v>GS70229-K1</v>
          </cell>
          <cell r="B113" t="str">
            <v>ガスステイ</v>
          </cell>
          <cell r="C113">
            <v>2146</v>
          </cell>
          <cell r="D113">
            <v>3200</v>
          </cell>
          <cell r="E113">
            <v>3600</v>
          </cell>
          <cell r="F113">
            <v>4000</v>
          </cell>
        </row>
        <row r="114">
          <cell r="A114" t="str">
            <v>GS73025-15</v>
          </cell>
          <cell r="B114" t="str">
            <v>ガスステイ１５パイ</v>
          </cell>
          <cell r="C114">
            <v>2892</v>
          </cell>
          <cell r="D114">
            <v>4100</v>
          </cell>
          <cell r="E114">
            <v>4700</v>
          </cell>
          <cell r="F114">
            <v>5000</v>
          </cell>
        </row>
        <row r="115">
          <cell r="A115" t="str">
            <v>GS80085-K1</v>
          </cell>
          <cell r="B115" t="str">
            <v>ガスステイ</v>
          </cell>
          <cell r="C115">
            <v>2146</v>
          </cell>
          <cell r="D115">
            <v>3200</v>
          </cell>
          <cell r="E115">
            <v>4000</v>
          </cell>
          <cell r="F115">
            <v>4000</v>
          </cell>
        </row>
        <row r="116">
          <cell r="A116" t="str">
            <v>GS80605-AO</v>
          </cell>
          <cell r="B116" t="str">
            <v>ガスステイＡ１５パイ</v>
          </cell>
          <cell r="C116">
            <v>2003</v>
          </cell>
          <cell r="D116">
            <v>3000</v>
          </cell>
          <cell r="E116">
            <v>3500</v>
          </cell>
          <cell r="F116">
            <v>4000</v>
          </cell>
        </row>
        <row r="117">
          <cell r="A117" t="str">
            <v>GS80605-AO1</v>
          </cell>
          <cell r="B117" t="str">
            <v>φ15ステイA</v>
          </cell>
          <cell r="C117">
            <v>2003</v>
          </cell>
          <cell r="D117">
            <v>3000</v>
          </cell>
          <cell r="E117">
            <v>3500</v>
          </cell>
          <cell r="F117">
            <v>4000</v>
          </cell>
        </row>
        <row r="118">
          <cell r="A118" t="str">
            <v>GS80605-BO</v>
          </cell>
          <cell r="B118" t="str">
            <v>ガスステイＢ１５パイ</v>
          </cell>
          <cell r="C118">
            <v>2005</v>
          </cell>
          <cell r="D118">
            <v>3000</v>
          </cell>
          <cell r="E118">
            <v>3500</v>
          </cell>
          <cell r="F118">
            <v>4000</v>
          </cell>
        </row>
        <row r="119">
          <cell r="A119" t="str">
            <v>GS80605-BO1</v>
          </cell>
          <cell r="B119" t="str">
            <v>φ15ステイB</v>
          </cell>
          <cell r="C119">
            <v>2005</v>
          </cell>
          <cell r="D119">
            <v>3000</v>
          </cell>
          <cell r="E119">
            <v>3500</v>
          </cell>
          <cell r="F119">
            <v>4000</v>
          </cell>
        </row>
        <row r="120">
          <cell r="A120" t="str">
            <v>GS80605-CO</v>
          </cell>
          <cell r="B120" t="str">
            <v>ガスステイＣ１５パイ</v>
          </cell>
          <cell r="C120">
            <v>1809</v>
          </cell>
          <cell r="D120">
            <v>2700</v>
          </cell>
          <cell r="E120">
            <v>3100</v>
          </cell>
          <cell r="F120">
            <v>3600</v>
          </cell>
        </row>
        <row r="121">
          <cell r="A121" t="str">
            <v>GS80605-CO1</v>
          </cell>
          <cell r="B121" t="str">
            <v>φ15ステイC</v>
          </cell>
          <cell r="C121">
            <v>1809</v>
          </cell>
          <cell r="D121">
            <v>2700</v>
          </cell>
          <cell r="E121">
            <v>3100</v>
          </cell>
          <cell r="F121">
            <v>3600</v>
          </cell>
        </row>
        <row r="122">
          <cell r="A122" t="str">
            <v>GS80605-DO</v>
          </cell>
          <cell r="B122" t="str">
            <v>ガスステイＤ１５パイ</v>
          </cell>
          <cell r="C122">
            <v>2135</v>
          </cell>
          <cell r="D122">
            <v>3200</v>
          </cell>
          <cell r="E122">
            <v>3500</v>
          </cell>
          <cell r="F122">
            <v>4000</v>
          </cell>
        </row>
        <row r="123">
          <cell r="A123" t="str">
            <v>GS80605-DO1</v>
          </cell>
          <cell r="B123" t="str">
            <v>φ15ステイD</v>
          </cell>
          <cell r="C123">
            <v>2135</v>
          </cell>
          <cell r="D123">
            <v>3200</v>
          </cell>
          <cell r="E123">
            <v>3500</v>
          </cell>
          <cell r="F123">
            <v>4000</v>
          </cell>
        </row>
        <row r="124">
          <cell r="A124" t="str">
            <v>GS80605-EO</v>
          </cell>
          <cell r="B124" t="str">
            <v>ガスステイＥ１５パイ</v>
          </cell>
          <cell r="C124">
            <v>2184</v>
          </cell>
          <cell r="D124">
            <v>3300</v>
          </cell>
          <cell r="E124">
            <v>3800</v>
          </cell>
          <cell r="F124">
            <v>4500</v>
          </cell>
        </row>
        <row r="125">
          <cell r="A125" t="str">
            <v>GS80605-EO1</v>
          </cell>
          <cell r="B125" t="str">
            <v>φ15ステイE</v>
          </cell>
          <cell r="C125">
            <v>2184</v>
          </cell>
          <cell r="D125">
            <v>3300</v>
          </cell>
          <cell r="E125">
            <v>3800</v>
          </cell>
          <cell r="F125">
            <v>4500</v>
          </cell>
        </row>
        <row r="126">
          <cell r="A126" t="str">
            <v>GS80605-FO</v>
          </cell>
          <cell r="B126" t="str">
            <v>ガスステイＦ１５パイ</v>
          </cell>
          <cell r="C126">
            <v>2288</v>
          </cell>
          <cell r="D126">
            <v>3400</v>
          </cell>
          <cell r="E126">
            <v>3900</v>
          </cell>
          <cell r="F126">
            <v>4500</v>
          </cell>
        </row>
        <row r="127">
          <cell r="A127" t="str">
            <v>GS80605-FO1</v>
          </cell>
          <cell r="B127" t="str">
            <v>φ15ステイF</v>
          </cell>
          <cell r="C127">
            <v>2288</v>
          </cell>
          <cell r="D127">
            <v>3400</v>
          </cell>
          <cell r="E127">
            <v>3900</v>
          </cell>
          <cell r="F127">
            <v>4500</v>
          </cell>
        </row>
        <row r="128">
          <cell r="A128" t="str">
            <v>GS80605-GO</v>
          </cell>
          <cell r="B128" t="str">
            <v>１５パイガスバネステイ</v>
          </cell>
          <cell r="C128">
            <v>2344</v>
          </cell>
          <cell r="D128">
            <v>3500</v>
          </cell>
          <cell r="E128">
            <v>4000</v>
          </cell>
          <cell r="F128">
            <v>4600</v>
          </cell>
        </row>
        <row r="129">
          <cell r="A129" t="str">
            <v>GS80605-GO1</v>
          </cell>
          <cell r="B129" t="str">
            <v>φ15ステイG</v>
          </cell>
          <cell r="C129">
            <v>2312</v>
          </cell>
          <cell r="D129">
            <v>3500</v>
          </cell>
          <cell r="E129">
            <v>4000</v>
          </cell>
          <cell r="F129">
            <v>4600</v>
          </cell>
        </row>
        <row r="130">
          <cell r="A130" t="str">
            <v>GSB22115-K1</v>
          </cell>
          <cell r="B130" t="str">
            <v>ガスステイブロンズ</v>
          </cell>
          <cell r="C130">
            <v>1912</v>
          </cell>
          <cell r="D130">
            <v>2850</v>
          </cell>
          <cell r="E130">
            <v>3300</v>
          </cell>
          <cell r="F130">
            <v>3800</v>
          </cell>
        </row>
        <row r="131">
          <cell r="A131" t="str">
            <v>GSB22120-K1</v>
          </cell>
          <cell r="B131" t="str">
            <v>ガスステイ ブロンズ</v>
          </cell>
          <cell r="C131">
            <v>2230</v>
          </cell>
          <cell r="D131">
            <v>3300</v>
          </cell>
          <cell r="E131">
            <v>3800</v>
          </cell>
          <cell r="F131">
            <v>4500</v>
          </cell>
        </row>
        <row r="132">
          <cell r="A132" t="str">
            <v>GSB22126-18</v>
          </cell>
          <cell r="B132" t="str">
            <v>ガスステイブロンズ</v>
          </cell>
          <cell r="C132">
            <v>2188</v>
          </cell>
          <cell r="D132">
            <v>3300</v>
          </cell>
          <cell r="E132">
            <v>3800</v>
          </cell>
          <cell r="F132">
            <v>4500</v>
          </cell>
        </row>
        <row r="133">
          <cell r="A133" t="str">
            <v>GSB28119-K1</v>
          </cell>
          <cell r="B133" t="str">
            <v>ガスステイブロンズ</v>
          </cell>
          <cell r="C133">
            <v>1940</v>
          </cell>
          <cell r="D133">
            <v>2900</v>
          </cell>
          <cell r="E133">
            <v>3300</v>
          </cell>
          <cell r="F133">
            <v>3800</v>
          </cell>
        </row>
        <row r="134">
          <cell r="A134" t="str">
            <v>GSB28125-18</v>
          </cell>
          <cell r="B134" t="str">
            <v>ガスステイブロンズ</v>
          </cell>
          <cell r="C134">
            <v>2283</v>
          </cell>
          <cell r="D134">
            <v>3400</v>
          </cell>
          <cell r="E134">
            <v>3900</v>
          </cell>
          <cell r="F134">
            <v>4500</v>
          </cell>
        </row>
        <row r="135">
          <cell r="A135" t="str">
            <v>GSB29018-18</v>
          </cell>
          <cell r="B135" t="str">
            <v>ガスステイ１８パイ　ブロンズ</v>
          </cell>
          <cell r="C135">
            <v>2860</v>
          </cell>
          <cell r="D135">
            <v>4300</v>
          </cell>
          <cell r="E135">
            <v>4700</v>
          </cell>
          <cell r="F135">
            <v>5400</v>
          </cell>
        </row>
        <row r="136">
          <cell r="A136" t="str">
            <v>GSB35018-18</v>
          </cell>
          <cell r="B136" t="str">
            <v>ガスステイ１８パイ　ブロンズ</v>
          </cell>
          <cell r="C136">
            <v>2043</v>
          </cell>
          <cell r="D136">
            <v>3000</v>
          </cell>
          <cell r="E136">
            <v>3500</v>
          </cell>
          <cell r="F136">
            <v>4000</v>
          </cell>
        </row>
        <row r="137">
          <cell r="A137" t="str">
            <v>GSB35021-18</v>
          </cell>
          <cell r="B137" t="str">
            <v>ガスステイ１８パイブロンズ</v>
          </cell>
          <cell r="C137">
            <v>2258</v>
          </cell>
          <cell r="D137">
            <v>3500</v>
          </cell>
          <cell r="E137">
            <v>4000</v>
          </cell>
          <cell r="F137">
            <v>4600</v>
          </cell>
        </row>
        <row r="138">
          <cell r="A138" t="str">
            <v>GSB35025-K1</v>
          </cell>
          <cell r="B138" t="str">
            <v>ガスステイブロンズ</v>
          </cell>
          <cell r="C138">
            <v>2299</v>
          </cell>
          <cell r="D138">
            <v>3500</v>
          </cell>
          <cell r="E138">
            <v>4000</v>
          </cell>
          <cell r="F138">
            <v>4600</v>
          </cell>
        </row>
        <row r="139">
          <cell r="A139" t="str">
            <v>GSB35030-18</v>
          </cell>
          <cell r="B139" t="str">
            <v>ガスステイブロンズ</v>
          </cell>
          <cell r="C139">
            <v>2196</v>
          </cell>
          <cell r="D139">
            <v>3300</v>
          </cell>
          <cell r="E139">
            <v>3800</v>
          </cell>
          <cell r="F139">
            <v>4500</v>
          </cell>
        </row>
        <row r="140">
          <cell r="A140" t="str">
            <v>GSB42519-18</v>
          </cell>
          <cell r="B140" t="str">
            <v>ガスステイ１８パイ 　ブロンズ　</v>
          </cell>
          <cell r="C140">
            <v>2043</v>
          </cell>
          <cell r="D140">
            <v>3000</v>
          </cell>
          <cell r="E140">
            <v>3500</v>
          </cell>
          <cell r="F140">
            <v>4000</v>
          </cell>
        </row>
        <row r="141">
          <cell r="A141" t="str">
            <v>GSB42523-18</v>
          </cell>
          <cell r="B141" t="str">
            <v>ガスステイ１８パイブロンズ</v>
          </cell>
          <cell r="C141">
            <v>2258</v>
          </cell>
          <cell r="D141">
            <v>3500</v>
          </cell>
          <cell r="E141">
            <v>4000</v>
          </cell>
          <cell r="F141">
            <v>4600</v>
          </cell>
        </row>
        <row r="142">
          <cell r="A142" t="str">
            <v>GSB42533-18</v>
          </cell>
          <cell r="B142" t="str">
            <v>ガスステイブロンズ</v>
          </cell>
          <cell r="C142">
            <v>2221</v>
          </cell>
          <cell r="D142">
            <v>3300</v>
          </cell>
          <cell r="E142">
            <v>3800</v>
          </cell>
          <cell r="F142">
            <v>4500</v>
          </cell>
        </row>
        <row r="143">
          <cell r="A143" t="str">
            <v>GSB50019-18</v>
          </cell>
          <cell r="B143" t="str">
            <v>ガスステイ１８パイ　ブロンズ</v>
          </cell>
          <cell r="C143">
            <v>2055</v>
          </cell>
          <cell r="D143">
            <v>3000</v>
          </cell>
          <cell r="E143">
            <v>3500</v>
          </cell>
          <cell r="F143">
            <v>4000</v>
          </cell>
        </row>
        <row r="144">
          <cell r="A144" t="str">
            <v>GSB50024-18</v>
          </cell>
          <cell r="B144" t="str">
            <v>ガスステイ１８パイブロンズ</v>
          </cell>
          <cell r="C144">
            <v>2328</v>
          </cell>
          <cell r="D144">
            <v>3450</v>
          </cell>
          <cell r="E144">
            <v>4000</v>
          </cell>
          <cell r="F144">
            <v>4600</v>
          </cell>
        </row>
        <row r="145">
          <cell r="A145" t="str">
            <v>GSB50027-K1</v>
          </cell>
          <cell r="B145" t="str">
            <v>ガスステイブロンズ</v>
          </cell>
          <cell r="C145">
            <v>3222</v>
          </cell>
          <cell r="D145">
            <v>4800</v>
          </cell>
          <cell r="E145">
            <v>5300</v>
          </cell>
          <cell r="F145">
            <v>6100</v>
          </cell>
        </row>
        <row r="146">
          <cell r="A146" t="str">
            <v>GSB50033-18</v>
          </cell>
          <cell r="B146" t="str">
            <v>ガスステイブロンズ</v>
          </cell>
          <cell r="C146">
            <v>2308</v>
          </cell>
          <cell r="D146">
            <v>3400</v>
          </cell>
          <cell r="E146">
            <v>4000</v>
          </cell>
          <cell r="F146">
            <v>4600</v>
          </cell>
        </row>
        <row r="147">
          <cell r="A147" t="str">
            <v>GSB50040-K1</v>
          </cell>
          <cell r="B147" t="str">
            <v>ガスステイブロンズ</v>
          </cell>
          <cell r="C147">
            <v>2298</v>
          </cell>
          <cell r="D147">
            <v>3400</v>
          </cell>
          <cell r="E147">
            <v>4000</v>
          </cell>
          <cell r="F147">
            <v>4600</v>
          </cell>
        </row>
        <row r="148">
          <cell r="A148" t="str">
            <v>GSB57519-18</v>
          </cell>
          <cell r="B148" t="str">
            <v>ガスステイ１８パイ　ブロンズ</v>
          </cell>
          <cell r="C148">
            <v>2056</v>
          </cell>
          <cell r="D148">
            <v>3000</v>
          </cell>
          <cell r="E148">
            <v>3500</v>
          </cell>
          <cell r="F148">
            <v>4000</v>
          </cell>
        </row>
        <row r="149">
          <cell r="A149" t="str">
            <v>GSB57525-18</v>
          </cell>
          <cell r="B149" t="str">
            <v>ガスステイ１８パイブロンズ</v>
          </cell>
          <cell r="C149">
            <v>2297</v>
          </cell>
          <cell r="D149">
            <v>3500</v>
          </cell>
          <cell r="E149">
            <v>4000</v>
          </cell>
          <cell r="F149">
            <v>4600</v>
          </cell>
        </row>
        <row r="150">
          <cell r="A150" t="str">
            <v>GSB57533-18</v>
          </cell>
          <cell r="B150" t="str">
            <v>ガスステイブロンズ</v>
          </cell>
          <cell r="C150">
            <v>2308</v>
          </cell>
          <cell r="D150">
            <v>3500</v>
          </cell>
          <cell r="E150">
            <v>4000</v>
          </cell>
          <cell r="F150">
            <v>4600</v>
          </cell>
        </row>
        <row r="151">
          <cell r="A151" t="str">
            <v>GSB64419-18</v>
          </cell>
          <cell r="B151" t="str">
            <v>ガスステイ１８パイブロンズ</v>
          </cell>
          <cell r="C151">
            <v>2055</v>
          </cell>
          <cell r="D151">
            <v>3000</v>
          </cell>
          <cell r="E151">
            <v>3500</v>
          </cell>
          <cell r="F151">
            <v>4000</v>
          </cell>
        </row>
        <row r="152">
          <cell r="A152" t="str">
            <v>GSB64425-18</v>
          </cell>
          <cell r="B152" t="str">
            <v>ガスステイ１８パイブロンズ</v>
          </cell>
          <cell r="C152">
            <v>2297</v>
          </cell>
          <cell r="D152">
            <v>3400</v>
          </cell>
          <cell r="E152">
            <v>4000</v>
          </cell>
          <cell r="F152">
            <v>4600</v>
          </cell>
        </row>
        <row r="153">
          <cell r="A153" t="str">
            <v>GSB64433-18</v>
          </cell>
          <cell r="B153" t="str">
            <v>ガスステイブロンズ</v>
          </cell>
          <cell r="C153">
            <v>2410</v>
          </cell>
          <cell r="D153">
            <v>3600</v>
          </cell>
          <cell r="E153">
            <v>4000</v>
          </cell>
          <cell r="F153">
            <v>4600</v>
          </cell>
        </row>
        <row r="154">
          <cell r="A154" t="str">
            <v>GSB64443-K1</v>
          </cell>
          <cell r="B154" t="str">
            <v>ガスステイブロンズ</v>
          </cell>
          <cell r="C154">
            <v>2300</v>
          </cell>
          <cell r="D154">
            <v>3400</v>
          </cell>
          <cell r="E154">
            <v>4000</v>
          </cell>
          <cell r="F154">
            <v>4600</v>
          </cell>
        </row>
        <row r="155">
          <cell r="A155" t="str">
            <v>GSB64455-K1</v>
          </cell>
          <cell r="B155" t="str">
            <v>ガスステイブロンズ</v>
          </cell>
          <cell r="C155">
            <v>2298</v>
          </cell>
          <cell r="D155">
            <v>3400</v>
          </cell>
          <cell r="E155">
            <v>4000</v>
          </cell>
          <cell r="F155">
            <v>4600</v>
          </cell>
        </row>
        <row r="156">
          <cell r="A156" t="str">
            <v>SLA80309</v>
          </cell>
          <cell r="B156" t="str">
            <v>丸ステイ用ビス</v>
          </cell>
          <cell r="C156">
            <v>120</v>
          </cell>
          <cell r="D156">
            <v>200</v>
          </cell>
          <cell r="E156">
            <v>250</v>
          </cell>
          <cell r="F156">
            <v>250</v>
          </cell>
        </row>
        <row r="157">
          <cell r="A157" t="str">
            <v>SLB80309</v>
          </cell>
          <cell r="B157" t="str">
            <v>丸ステイ用ビスブロンズ</v>
          </cell>
          <cell r="C157">
            <v>143</v>
          </cell>
          <cell r="D157">
            <v>200</v>
          </cell>
          <cell r="E157">
            <v>300</v>
          </cell>
          <cell r="F157">
            <v>350</v>
          </cell>
        </row>
        <row r="158">
          <cell r="A158" t="str">
            <v>SLA81608-A</v>
          </cell>
          <cell r="B158" t="str">
            <v>ビスセットＡ</v>
          </cell>
          <cell r="C158">
            <v>179</v>
          </cell>
          <cell r="D158">
            <v>300</v>
          </cell>
          <cell r="E158">
            <v>350</v>
          </cell>
          <cell r="F158">
            <v>400</v>
          </cell>
        </row>
        <row r="159">
          <cell r="A159" t="str">
            <v>SLB81608-A</v>
          </cell>
          <cell r="B159" t="str">
            <v>ビスセットＡブロンズ</v>
          </cell>
          <cell r="C159">
            <v>149</v>
          </cell>
          <cell r="D159">
            <v>300</v>
          </cell>
          <cell r="E159">
            <v>350</v>
          </cell>
          <cell r="F159">
            <v>400</v>
          </cell>
        </row>
        <row r="160">
          <cell r="A160" t="str">
            <v>K830010TA</v>
          </cell>
          <cell r="B160" t="str">
            <v>ボルト・ナット・セット</v>
          </cell>
          <cell r="C160">
            <v>85</v>
          </cell>
          <cell r="D160">
            <v>150</v>
          </cell>
          <cell r="E160">
            <v>200</v>
          </cell>
          <cell r="F160">
            <v>250</v>
          </cell>
        </row>
        <row r="161">
          <cell r="A161" t="str">
            <v>K830010TB</v>
          </cell>
          <cell r="B161" t="str">
            <v>ボルト・ナット・セットブロンズ</v>
          </cell>
          <cell r="C161">
            <v>109</v>
          </cell>
          <cell r="D161">
            <v>150</v>
          </cell>
          <cell r="E161">
            <v>200</v>
          </cell>
          <cell r="F161">
            <v>250</v>
          </cell>
        </row>
        <row r="162">
          <cell r="A162" t="str">
            <v>K830010TS</v>
          </cell>
          <cell r="B162" t="str">
            <v>ボルト・ナット・セットＳＵＳ</v>
          </cell>
          <cell r="C162">
            <v>147</v>
          </cell>
          <cell r="D162">
            <v>200</v>
          </cell>
          <cell r="E162">
            <v>250</v>
          </cell>
          <cell r="F162">
            <v>300</v>
          </cell>
        </row>
        <row r="163">
          <cell r="A163" t="str">
            <v>SLA86061</v>
          </cell>
          <cell r="B163" t="str">
            <v>ブラケットセット（パラレル）</v>
          </cell>
          <cell r="C163">
            <v>801</v>
          </cell>
          <cell r="D163">
            <v>1150</v>
          </cell>
          <cell r="E163">
            <v>1300</v>
          </cell>
          <cell r="F163">
            <v>1500</v>
          </cell>
        </row>
        <row r="164">
          <cell r="A164" t="str">
            <v>SLA90105-1</v>
          </cell>
          <cell r="B164" t="str">
            <v>２８パイ用ピンセット</v>
          </cell>
          <cell r="C164">
            <v>446</v>
          </cell>
          <cell r="D164">
            <v>700</v>
          </cell>
          <cell r="E164">
            <v>800</v>
          </cell>
          <cell r="F164">
            <v>950</v>
          </cell>
        </row>
        <row r="165">
          <cell r="A165" t="str">
            <v>SLB86061</v>
          </cell>
          <cell r="B165" t="str">
            <v>ブラケットセットブロンズ</v>
          </cell>
          <cell r="C165">
            <v>904</v>
          </cell>
          <cell r="D165">
            <v>1400</v>
          </cell>
          <cell r="E165">
            <v>1600</v>
          </cell>
          <cell r="F165">
            <v>1850</v>
          </cell>
        </row>
        <row r="166">
          <cell r="A166" t="str">
            <v>GS3502015</v>
          </cell>
          <cell r="B166" t="str">
            <v>ガスバネステイ１５パイ 突き出し用</v>
          </cell>
          <cell r="C166">
            <v>2237</v>
          </cell>
          <cell r="D166">
            <v>3300</v>
          </cell>
          <cell r="E166">
            <v>3800</v>
          </cell>
          <cell r="F166">
            <v>4400</v>
          </cell>
        </row>
        <row r="167">
          <cell r="A167" t="str">
            <v>GS4252015</v>
          </cell>
          <cell r="B167" t="str">
            <v>ガスバネステイ１５パイ 突き出し用</v>
          </cell>
          <cell r="C167">
            <v>2387</v>
          </cell>
          <cell r="D167">
            <v>3550</v>
          </cell>
          <cell r="E167">
            <v>4100</v>
          </cell>
          <cell r="F167">
            <v>4700</v>
          </cell>
        </row>
        <row r="168">
          <cell r="A168" t="str">
            <v>GS5002015</v>
          </cell>
          <cell r="B168" t="str">
            <v>ガスバネステイ１５パイ 突き出し用</v>
          </cell>
          <cell r="C168">
            <v>2435</v>
          </cell>
          <cell r="D168">
            <v>3600</v>
          </cell>
          <cell r="E168">
            <v>4200</v>
          </cell>
          <cell r="F168">
            <v>4800</v>
          </cell>
        </row>
        <row r="169">
          <cell r="A169" t="str">
            <v>GS5502015</v>
          </cell>
          <cell r="B169" t="str">
            <v>ガスバネステイ１５パイ 突き出し用</v>
          </cell>
          <cell r="C169">
            <v>2493</v>
          </cell>
          <cell r="D169">
            <v>3700</v>
          </cell>
          <cell r="E169">
            <v>4300</v>
          </cell>
          <cell r="F169">
            <v>4900</v>
          </cell>
        </row>
        <row r="170">
          <cell r="A170" t="str">
            <v>SLA80705-AO</v>
          </cell>
          <cell r="B170" t="str">
            <v>ステイA</v>
          </cell>
          <cell r="C170">
            <v>2052</v>
          </cell>
          <cell r="D170">
            <v>3000</v>
          </cell>
          <cell r="E170">
            <v>3600</v>
          </cell>
          <cell r="F170">
            <v>4000</v>
          </cell>
        </row>
        <row r="171">
          <cell r="A171" t="str">
            <v>SLA80705-BO</v>
          </cell>
          <cell r="B171" t="str">
            <v>ステイB</v>
          </cell>
          <cell r="C171">
            <v>2154</v>
          </cell>
          <cell r="D171">
            <v>3200</v>
          </cell>
          <cell r="E171">
            <v>3600</v>
          </cell>
          <cell r="F171">
            <v>4000</v>
          </cell>
        </row>
        <row r="172">
          <cell r="A172" t="str">
            <v>SLA80705-CO</v>
          </cell>
          <cell r="B172" t="str">
            <v>ステイC</v>
          </cell>
          <cell r="C172">
            <v>2298</v>
          </cell>
          <cell r="D172">
            <v>3400</v>
          </cell>
          <cell r="E172">
            <v>3800</v>
          </cell>
          <cell r="F172">
            <v>4300</v>
          </cell>
        </row>
        <row r="173">
          <cell r="A173" t="str">
            <v>SLA80705-DO</v>
          </cell>
          <cell r="B173" t="str">
            <v>ステイD</v>
          </cell>
          <cell r="C173">
            <v>2376</v>
          </cell>
          <cell r="D173">
            <v>3500</v>
          </cell>
          <cell r="E173">
            <v>3900</v>
          </cell>
          <cell r="F173">
            <v>4300</v>
          </cell>
        </row>
        <row r="174">
          <cell r="A174" t="str">
            <v>SLA85203C</v>
          </cell>
          <cell r="B174" t="str">
            <v>枠滑車Ｃ</v>
          </cell>
          <cell r="C174">
            <v>560</v>
          </cell>
          <cell r="D174">
            <v>850</v>
          </cell>
          <cell r="E174">
            <v>1000</v>
          </cell>
          <cell r="F174">
            <v>1150</v>
          </cell>
        </row>
        <row r="175">
          <cell r="A175" t="str">
            <v>SLA85403C</v>
          </cell>
          <cell r="B175" t="str">
            <v>枠滑車Ｃ</v>
          </cell>
          <cell r="C175">
            <v>588</v>
          </cell>
          <cell r="D175">
            <v>880</v>
          </cell>
          <cell r="E175">
            <v>1000</v>
          </cell>
          <cell r="F175">
            <v>1150</v>
          </cell>
        </row>
        <row r="176">
          <cell r="A176" t="str">
            <v>SLB85403C</v>
          </cell>
          <cell r="B176" t="str">
            <v>枠滑車Ｃブロンズ</v>
          </cell>
          <cell r="C176">
            <v>637</v>
          </cell>
          <cell r="D176">
            <v>960</v>
          </cell>
          <cell r="E176">
            <v>1050</v>
          </cell>
          <cell r="F176">
            <v>1200</v>
          </cell>
        </row>
        <row r="177">
          <cell r="A177" t="str">
            <v>SLB85603C</v>
          </cell>
          <cell r="B177" t="str">
            <v>枠滑車Ｃブロンズ</v>
          </cell>
          <cell r="C177">
            <v>672</v>
          </cell>
          <cell r="D177">
            <v>1000</v>
          </cell>
          <cell r="E177">
            <v>1100</v>
          </cell>
          <cell r="F177">
            <v>1300</v>
          </cell>
        </row>
        <row r="178">
          <cell r="A178" t="str">
            <v>SLA85203D</v>
          </cell>
          <cell r="B178" t="str">
            <v>枠滑車Ｄ</v>
          </cell>
          <cell r="C178">
            <v>584</v>
          </cell>
          <cell r="D178">
            <v>900</v>
          </cell>
          <cell r="E178">
            <v>1050</v>
          </cell>
          <cell r="F178">
            <v>1250</v>
          </cell>
        </row>
        <row r="179">
          <cell r="A179" t="str">
            <v>SLA85403D</v>
          </cell>
          <cell r="B179" t="str">
            <v>枠滑車Ｄ</v>
          </cell>
          <cell r="C179">
            <v>605</v>
          </cell>
          <cell r="D179">
            <v>900</v>
          </cell>
          <cell r="E179">
            <v>1100</v>
          </cell>
          <cell r="F179">
            <v>1300</v>
          </cell>
        </row>
        <row r="180">
          <cell r="A180" t="str">
            <v>SLB85403D</v>
          </cell>
          <cell r="B180" t="str">
            <v>枠滑車Ｄブロンズ</v>
          </cell>
          <cell r="C180">
            <v>662</v>
          </cell>
          <cell r="D180">
            <v>1000</v>
          </cell>
          <cell r="E180">
            <v>1150</v>
          </cell>
          <cell r="F180">
            <v>1300</v>
          </cell>
        </row>
        <row r="181">
          <cell r="A181" t="str">
            <v>SLB85603D</v>
          </cell>
          <cell r="B181" t="str">
            <v>枠滑車Ｄブロンズ</v>
          </cell>
          <cell r="C181">
            <v>688</v>
          </cell>
          <cell r="D181">
            <v>1050</v>
          </cell>
          <cell r="E181">
            <v>1150</v>
          </cell>
          <cell r="F181">
            <v>1300</v>
          </cell>
        </row>
        <row r="182">
          <cell r="A182" t="str">
            <v>SLA86003-C</v>
          </cell>
          <cell r="B182" t="str">
            <v>枠滑車Ｃ</v>
          </cell>
          <cell r="C182">
            <v>702</v>
          </cell>
          <cell r="D182">
            <v>1050</v>
          </cell>
          <cell r="E182">
            <v>1150</v>
          </cell>
          <cell r="F182">
            <v>1300</v>
          </cell>
        </row>
        <row r="183">
          <cell r="A183" t="str">
            <v>SLB86003-C</v>
          </cell>
          <cell r="B183" t="str">
            <v>枠滑車Ｃブロンズ</v>
          </cell>
          <cell r="C183">
            <v>726</v>
          </cell>
          <cell r="D183">
            <v>1100</v>
          </cell>
          <cell r="E183">
            <v>1200</v>
          </cell>
          <cell r="F183">
            <v>1300</v>
          </cell>
        </row>
        <row r="184">
          <cell r="A184" t="str">
            <v>SLA85304</v>
          </cell>
          <cell r="B184" t="str">
            <v>障子滑車</v>
          </cell>
          <cell r="C184">
            <v>366</v>
          </cell>
          <cell r="D184">
            <v>550</v>
          </cell>
          <cell r="E184">
            <v>650</v>
          </cell>
          <cell r="F184">
            <v>750</v>
          </cell>
        </row>
        <row r="185">
          <cell r="A185" t="str">
            <v>SLB85504</v>
          </cell>
          <cell r="B185" t="str">
            <v>障子滑車ブロンズ</v>
          </cell>
          <cell r="C185">
            <v>433</v>
          </cell>
          <cell r="D185">
            <v>650</v>
          </cell>
          <cell r="E185">
            <v>750</v>
          </cell>
          <cell r="F185">
            <v>850</v>
          </cell>
        </row>
        <row r="186">
          <cell r="A186" t="str">
            <v>SLA86004</v>
          </cell>
          <cell r="B186" t="str">
            <v>障子滑車</v>
          </cell>
          <cell r="C186">
            <v>535</v>
          </cell>
          <cell r="D186">
            <v>800</v>
          </cell>
          <cell r="E186">
            <v>900</v>
          </cell>
          <cell r="F186">
            <v>1000</v>
          </cell>
        </row>
        <row r="187">
          <cell r="A187" t="str">
            <v>SLA86004-A</v>
          </cell>
          <cell r="B187" t="str">
            <v>障子滑車</v>
          </cell>
          <cell r="C187">
            <v>529</v>
          </cell>
          <cell r="D187">
            <v>800</v>
          </cell>
          <cell r="E187">
            <v>900</v>
          </cell>
          <cell r="F187">
            <v>1000</v>
          </cell>
        </row>
        <row r="188">
          <cell r="A188" t="str">
            <v>SLB86004</v>
          </cell>
          <cell r="B188" t="str">
            <v>障子滑車ブロンズ</v>
          </cell>
          <cell r="C188">
            <v>617</v>
          </cell>
          <cell r="D188">
            <v>900</v>
          </cell>
          <cell r="E188">
            <v>1000</v>
          </cell>
          <cell r="F188">
            <v>1150</v>
          </cell>
        </row>
        <row r="189">
          <cell r="A189" t="str">
            <v>SLB86004-A</v>
          </cell>
          <cell r="B189" t="str">
            <v>障子滑車ブロンズ</v>
          </cell>
          <cell r="C189">
            <v>609</v>
          </cell>
          <cell r="D189">
            <v>900</v>
          </cell>
          <cell r="E189">
            <v>1000</v>
          </cell>
          <cell r="F189">
            <v>1200</v>
          </cell>
        </row>
        <row r="190">
          <cell r="A190" t="str">
            <v>SLA86104</v>
          </cell>
          <cell r="B190" t="str">
            <v>φ24滑車RS</v>
          </cell>
          <cell r="C190">
            <v>483</v>
          </cell>
          <cell r="D190">
            <v>700</v>
          </cell>
          <cell r="E190">
            <v>800</v>
          </cell>
          <cell r="F190">
            <v>900</v>
          </cell>
        </row>
        <row r="191">
          <cell r="A191" t="str">
            <v>SLB86104</v>
          </cell>
          <cell r="B191" t="str">
            <v>φ24滑車RSブロンズ</v>
          </cell>
          <cell r="C191">
            <v>491</v>
          </cell>
          <cell r="D191">
            <v>750</v>
          </cell>
          <cell r="E191">
            <v>850</v>
          </cell>
          <cell r="F191">
            <v>950</v>
          </cell>
        </row>
        <row r="192">
          <cell r="A192" t="str">
            <v>SLA81235A</v>
          </cell>
          <cell r="B192" t="str">
            <v>転向滑車埋込</v>
          </cell>
          <cell r="C192">
            <v>1440</v>
          </cell>
          <cell r="D192">
            <v>2100</v>
          </cell>
          <cell r="E192">
            <v>2600</v>
          </cell>
          <cell r="F192">
            <v>3100</v>
          </cell>
        </row>
        <row r="193">
          <cell r="A193" t="str">
            <v>SLB81235A</v>
          </cell>
          <cell r="B193" t="str">
            <v>転向滑車埋込ブロンズ</v>
          </cell>
          <cell r="C193">
            <v>1500</v>
          </cell>
          <cell r="D193">
            <v>2200</v>
          </cell>
          <cell r="E193">
            <v>2700</v>
          </cell>
          <cell r="F193">
            <v>3200</v>
          </cell>
        </row>
        <row r="194">
          <cell r="A194" t="str">
            <v>SLA85209G</v>
          </cell>
          <cell r="B194" t="str">
            <v>転向滑車Ｇ</v>
          </cell>
          <cell r="C194">
            <v>542</v>
          </cell>
          <cell r="D194">
            <v>800</v>
          </cell>
          <cell r="E194">
            <v>900</v>
          </cell>
          <cell r="F194">
            <v>1050</v>
          </cell>
        </row>
        <row r="195">
          <cell r="A195" t="str">
            <v>SLB85509G</v>
          </cell>
          <cell r="B195" t="str">
            <v>転向滑車Ｇブロンズ</v>
          </cell>
          <cell r="C195">
            <v>539</v>
          </cell>
          <cell r="D195">
            <v>800</v>
          </cell>
          <cell r="E195">
            <v>850</v>
          </cell>
          <cell r="F195">
            <v>1000</v>
          </cell>
        </row>
        <row r="196">
          <cell r="A196" t="str">
            <v>SLB85309-G</v>
          </cell>
          <cell r="B196" t="str">
            <v>転向滑車Ｇブロンズ</v>
          </cell>
          <cell r="C196">
            <v>431</v>
          </cell>
          <cell r="D196">
            <v>750</v>
          </cell>
          <cell r="E196">
            <v>850</v>
          </cell>
          <cell r="F196">
            <v>950</v>
          </cell>
        </row>
        <row r="197">
          <cell r="A197" t="str">
            <v>SLA90104</v>
          </cell>
          <cell r="B197" t="str">
            <v>ラッチ付滑車</v>
          </cell>
          <cell r="C197">
            <v>3233</v>
          </cell>
          <cell r="D197">
            <v>5000</v>
          </cell>
          <cell r="E197">
            <v>5500</v>
          </cell>
          <cell r="F197">
            <v>6500</v>
          </cell>
        </row>
        <row r="198">
          <cell r="A198" t="str">
            <v>TSA85209G</v>
          </cell>
          <cell r="B198" t="str">
            <v>転向滑車Gシルバー耐蝕向上品</v>
          </cell>
          <cell r="C198">
            <v>2610</v>
          </cell>
          <cell r="D198">
            <v>4000</v>
          </cell>
          <cell r="E198">
            <v>4500</v>
          </cell>
          <cell r="F198">
            <v>5500</v>
          </cell>
        </row>
        <row r="199">
          <cell r="A199" t="str">
            <v>TSB85504</v>
          </cell>
          <cell r="B199" t="str">
            <v>障子滑車ブロンズ耐蝕向上品</v>
          </cell>
          <cell r="C199">
            <v>2687</v>
          </cell>
          <cell r="D199">
            <v>4100</v>
          </cell>
          <cell r="E199">
            <v>4700</v>
          </cell>
          <cell r="F199">
            <v>5500</v>
          </cell>
        </row>
        <row r="200">
          <cell r="A200" t="str">
            <v>TSA85304</v>
          </cell>
          <cell r="B200" t="str">
            <v>障子滑車シルバー耐蝕向上品</v>
          </cell>
          <cell r="C200">
            <v>2545</v>
          </cell>
          <cell r="D200">
            <v>4000</v>
          </cell>
          <cell r="E200">
            <v>4700</v>
          </cell>
          <cell r="F200">
            <v>5500</v>
          </cell>
        </row>
        <row r="201">
          <cell r="A201" t="str">
            <v>TSB85509G</v>
          </cell>
          <cell r="B201" t="str">
            <v>転向滑車Gブロンズ耐蝕向上品</v>
          </cell>
          <cell r="C201">
            <v>2755</v>
          </cell>
          <cell r="D201">
            <v>4500</v>
          </cell>
          <cell r="E201">
            <v>5000</v>
          </cell>
          <cell r="F201">
            <v>5500</v>
          </cell>
        </row>
        <row r="202">
          <cell r="A202" t="str">
            <v>TSA85403C</v>
          </cell>
          <cell r="B202" t="str">
            <v>枠滑車Cシルバー耐蝕向上品</v>
          </cell>
          <cell r="C202">
            <v>2710</v>
          </cell>
          <cell r="D202">
            <v>4500</v>
          </cell>
          <cell r="E202">
            <v>4500</v>
          </cell>
          <cell r="F202">
            <v>5500</v>
          </cell>
        </row>
        <row r="203">
          <cell r="A203" t="str">
            <v>TSA85403D</v>
          </cell>
          <cell r="B203" t="str">
            <v>枠滑車Dシルバー耐蝕向上品</v>
          </cell>
          <cell r="C203">
            <v>2710</v>
          </cell>
          <cell r="D203">
            <v>4500</v>
          </cell>
          <cell r="E203">
            <v>4500</v>
          </cell>
          <cell r="F203">
            <v>5500</v>
          </cell>
        </row>
        <row r="204">
          <cell r="A204" t="str">
            <v>TSB85603D</v>
          </cell>
          <cell r="B204" t="str">
            <v>枠滑車Dブロンズ耐蝕向上品</v>
          </cell>
          <cell r="C204">
            <v>2836</v>
          </cell>
          <cell r="D204">
            <v>4500</v>
          </cell>
          <cell r="E204">
            <v>5000</v>
          </cell>
          <cell r="F204">
            <v>5500</v>
          </cell>
        </row>
        <row r="205">
          <cell r="A205" t="str">
            <v>TSB85603C</v>
          </cell>
          <cell r="B205" t="str">
            <v>枠滑車Cブロンズ耐蝕向上品</v>
          </cell>
          <cell r="C205">
            <v>2830</v>
          </cell>
          <cell r="D205">
            <v>4500</v>
          </cell>
          <cell r="E205">
            <v>5000</v>
          </cell>
          <cell r="F205">
            <v>5500</v>
          </cell>
        </row>
        <row r="206">
          <cell r="A206" t="str">
            <v>SLA80606-K</v>
          </cell>
          <cell r="B206" t="str">
            <v>障子滑車取付金具Ｋ</v>
          </cell>
          <cell r="C206">
            <v>925</v>
          </cell>
          <cell r="D206">
            <v>1600</v>
          </cell>
          <cell r="E206">
            <v>2000</v>
          </cell>
          <cell r="F206">
            <v>2100</v>
          </cell>
        </row>
        <row r="207">
          <cell r="A207" t="str">
            <v>SLA80606-L</v>
          </cell>
          <cell r="B207" t="str">
            <v>スベリ材</v>
          </cell>
          <cell r="C207">
            <v>603</v>
          </cell>
          <cell r="D207">
            <v>1000</v>
          </cell>
          <cell r="E207">
            <v>1100</v>
          </cell>
          <cell r="F207">
            <v>1200</v>
          </cell>
        </row>
        <row r="208">
          <cell r="A208" t="str">
            <v>SLA80607-G</v>
          </cell>
          <cell r="B208" t="str">
            <v>枠滑車取付金具Ｇ</v>
          </cell>
          <cell r="C208">
            <v>694</v>
          </cell>
          <cell r="D208">
            <v>1050</v>
          </cell>
          <cell r="E208">
            <v>1200</v>
          </cell>
          <cell r="F208">
            <v>1300</v>
          </cell>
        </row>
        <row r="209">
          <cell r="A209" t="str">
            <v>SLS81133-A</v>
          </cell>
          <cell r="B209" t="str">
            <v>φ24滑車A</v>
          </cell>
          <cell r="C209">
            <v>697</v>
          </cell>
          <cell r="D209">
            <v>1050</v>
          </cell>
          <cell r="E209">
            <v>1200</v>
          </cell>
          <cell r="F209">
            <v>1500</v>
          </cell>
        </row>
        <row r="210">
          <cell r="A210" t="str">
            <v>SLS81133-AG</v>
          </cell>
          <cell r="B210" t="str">
            <v>φ24滑車AG</v>
          </cell>
          <cell r="C210">
            <v>734</v>
          </cell>
          <cell r="D210">
            <v>1100</v>
          </cell>
          <cell r="E210">
            <v>1200</v>
          </cell>
          <cell r="F210">
            <v>1500</v>
          </cell>
        </row>
        <row r="211">
          <cell r="A211" t="str">
            <v>SLS81133-C</v>
          </cell>
          <cell r="B211" t="str">
            <v>φ24滑車C</v>
          </cell>
          <cell r="C211">
            <v>654</v>
          </cell>
          <cell r="D211">
            <v>1050</v>
          </cell>
          <cell r="E211">
            <v>1200</v>
          </cell>
          <cell r="F211">
            <v>1500</v>
          </cell>
        </row>
        <row r="212">
          <cell r="A212" t="str">
            <v>SLS81133-CG</v>
          </cell>
          <cell r="B212" t="str">
            <v>φ24滑車CG</v>
          </cell>
          <cell r="C212">
            <v>708</v>
          </cell>
          <cell r="D212">
            <v>1050</v>
          </cell>
          <cell r="E212">
            <v>1200</v>
          </cell>
          <cell r="F212">
            <v>1500</v>
          </cell>
        </row>
        <row r="213">
          <cell r="A213" t="str">
            <v>SLS81034-B</v>
          </cell>
          <cell r="B213" t="str">
            <v>枠滑車Ｂ</v>
          </cell>
          <cell r="C213">
            <v>1077</v>
          </cell>
          <cell r="D213">
            <v>1600</v>
          </cell>
          <cell r="E213">
            <v>1850</v>
          </cell>
          <cell r="F213">
            <v>2100</v>
          </cell>
        </row>
        <row r="214">
          <cell r="A214" t="str">
            <v>SLS81133-CB</v>
          </cell>
          <cell r="B214" t="str">
            <v>枠滑車ＣＢ</v>
          </cell>
          <cell r="C214">
            <v>813</v>
          </cell>
          <cell r="D214">
            <v>1200</v>
          </cell>
          <cell r="E214">
            <v>1400</v>
          </cell>
          <cell r="F214">
            <v>1600</v>
          </cell>
        </row>
        <row r="215">
          <cell r="A215" t="str">
            <v>SLS81133-NB</v>
          </cell>
          <cell r="B215" t="str">
            <v>枠滑車ＮＢ</v>
          </cell>
          <cell r="C215">
            <v>728</v>
          </cell>
          <cell r="D215">
            <v>1100</v>
          </cell>
          <cell r="E215">
            <v>1200</v>
          </cell>
          <cell r="F215">
            <v>1500</v>
          </cell>
        </row>
        <row r="216">
          <cell r="A216" t="str">
            <v>SLS81133-TB</v>
          </cell>
          <cell r="B216" t="str">
            <v>枠滑車ＴＢ</v>
          </cell>
          <cell r="C216">
            <v>814</v>
          </cell>
          <cell r="D216">
            <v>1200</v>
          </cell>
          <cell r="E216">
            <v>1400</v>
          </cell>
          <cell r="F216">
            <v>1550</v>
          </cell>
        </row>
        <row r="217">
          <cell r="A217" t="str">
            <v>SLS81233-FB</v>
          </cell>
          <cell r="B217" t="str">
            <v>枠滑車ＦＢ</v>
          </cell>
          <cell r="C217">
            <v>812</v>
          </cell>
          <cell r="D217">
            <v>1200</v>
          </cell>
          <cell r="E217">
            <v>1400</v>
          </cell>
          <cell r="F217">
            <v>1550</v>
          </cell>
        </row>
        <row r="218">
          <cell r="A218" t="str">
            <v>SLS81233-FD</v>
          </cell>
          <cell r="B218" t="str">
            <v>枠滑車ＦＤ</v>
          </cell>
          <cell r="C218">
            <v>976</v>
          </cell>
          <cell r="D218">
            <v>1400</v>
          </cell>
          <cell r="E218">
            <v>1600</v>
          </cell>
          <cell r="F218">
            <v>1800</v>
          </cell>
        </row>
        <row r="219">
          <cell r="A219" t="str">
            <v>SLS81333-FF</v>
          </cell>
          <cell r="B219" t="str">
            <v>枠滑車ＦＦ</v>
          </cell>
          <cell r="C219">
            <v>1079</v>
          </cell>
          <cell r="D219">
            <v>1600</v>
          </cell>
          <cell r="E219">
            <v>1800</v>
          </cell>
          <cell r="F219">
            <v>2100</v>
          </cell>
        </row>
        <row r="220">
          <cell r="A220" t="str">
            <v>SLS81034</v>
          </cell>
          <cell r="B220" t="str">
            <v>障子滑車</v>
          </cell>
          <cell r="C220">
            <v>977</v>
          </cell>
          <cell r="D220">
            <v>1400</v>
          </cell>
          <cell r="E220">
            <v>1750</v>
          </cell>
          <cell r="F220">
            <v>2000</v>
          </cell>
        </row>
        <row r="221">
          <cell r="A221" t="str">
            <v>SLS81034-C</v>
          </cell>
          <cell r="B221" t="str">
            <v>障子滑車Ｃ</v>
          </cell>
          <cell r="C221">
            <v>1014</v>
          </cell>
          <cell r="D221">
            <v>1500</v>
          </cell>
          <cell r="E221">
            <v>1750</v>
          </cell>
          <cell r="F221">
            <v>2000</v>
          </cell>
        </row>
        <row r="222">
          <cell r="A222" t="str">
            <v>SLS81134-CA</v>
          </cell>
          <cell r="B222" t="str">
            <v>障子滑車ＣＡ</v>
          </cell>
          <cell r="C222">
            <v>778</v>
          </cell>
          <cell r="D222">
            <v>1150</v>
          </cell>
          <cell r="E222">
            <v>1300</v>
          </cell>
          <cell r="F222">
            <v>1450</v>
          </cell>
        </row>
        <row r="223">
          <cell r="A223" t="str">
            <v>SLS81134-NA</v>
          </cell>
          <cell r="B223" t="str">
            <v>障子滑車ＮＡ</v>
          </cell>
          <cell r="C223">
            <v>704</v>
          </cell>
          <cell r="D223">
            <v>1050</v>
          </cell>
          <cell r="E223">
            <v>1400</v>
          </cell>
          <cell r="F223">
            <v>1500</v>
          </cell>
        </row>
        <row r="224">
          <cell r="A224" t="str">
            <v>SLS81134-TA</v>
          </cell>
          <cell r="B224" t="str">
            <v>障子滑車ＴＡ</v>
          </cell>
          <cell r="C224">
            <v>825</v>
          </cell>
          <cell r="D224">
            <v>1200</v>
          </cell>
          <cell r="E224">
            <v>1400</v>
          </cell>
          <cell r="F224">
            <v>1600</v>
          </cell>
        </row>
        <row r="225">
          <cell r="A225" t="str">
            <v>SLS81134-TC</v>
          </cell>
          <cell r="B225" t="str">
            <v>障子滑車ＴＣ</v>
          </cell>
          <cell r="C225">
            <v>918</v>
          </cell>
          <cell r="D225">
            <v>1350</v>
          </cell>
          <cell r="E225">
            <v>1500</v>
          </cell>
          <cell r="F225">
            <v>1800</v>
          </cell>
        </row>
        <row r="226">
          <cell r="A226" t="str">
            <v>SLS81234-FC</v>
          </cell>
          <cell r="B226" t="str">
            <v>障子滑車ＦＣ</v>
          </cell>
          <cell r="C226">
            <v>921</v>
          </cell>
          <cell r="D226">
            <v>1350</v>
          </cell>
          <cell r="E226">
            <v>1500</v>
          </cell>
          <cell r="F226">
            <v>1800</v>
          </cell>
        </row>
        <row r="227">
          <cell r="A227" t="str">
            <v>SLS80035-YAL</v>
          </cell>
          <cell r="B227" t="str">
            <v>転向滑車ＹＡＬ</v>
          </cell>
          <cell r="C227">
            <v>849</v>
          </cell>
          <cell r="D227">
            <v>1300</v>
          </cell>
          <cell r="E227">
            <v>1450</v>
          </cell>
          <cell r="F227">
            <v>1700</v>
          </cell>
        </row>
        <row r="228">
          <cell r="A228" t="str">
            <v>SLS80035-YAR</v>
          </cell>
          <cell r="B228" t="str">
            <v>転向滑車ＹＡＲ</v>
          </cell>
          <cell r="C228">
            <v>849</v>
          </cell>
          <cell r="D228">
            <v>1300</v>
          </cell>
          <cell r="E228">
            <v>1450</v>
          </cell>
          <cell r="F228">
            <v>1700</v>
          </cell>
        </row>
        <row r="229">
          <cell r="A229" t="str">
            <v>SLS80135-TA</v>
          </cell>
          <cell r="B229" t="str">
            <v>転向滑車ＴＡ</v>
          </cell>
          <cell r="C229">
            <v>536</v>
          </cell>
          <cell r="D229">
            <v>800</v>
          </cell>
          <cell r="E229">
            <v>900</v>
          </cell>
          <cell r="F229">
            <v>1100</v>
          </cell>
        </row>
        <row r="230">
          <cell r="A230" t="str">
            <v>SLS81235-AL</v>
          </cell>
          <cell r="B230" t="str">
            <v>転向滑車ＡＬ</v>
          </cell>
          <cell r="C230">
            <v>920</v>
          </cell>
          <cell r="D230">
            <v>1600</v>
          </cell>
          <cell r="E230">
            <v>1800</v>
          </cell>
          <cell r="F230">
            <v>2100</v>
          </cell>
        </row>
        <row r="231">
          <cell r="A231" t="str">
            <v>SLS81235-AR</v>
          </cell>
          <cell r="B231" t="str">
            <v>転向滑車ＡＲ</v>
          </cell>
          <cell r="C231">
            <v>920</v>
          </cell>
          <cell r="D231">
            <v>1600</v>
          </cell>
          <cell r="E231">
            <v>1800</v>
          </cell>
          <cell r="F231">
            <v>2100</v>
          </cell>
        </row>
        <row r="232">
          <cell r="A232" t="str">
            <v>SLS84136-C</v>
          </cell>
          <cell r="B232" t="str">
            <v>フレコン滑車Ｃ</v>
          </cell>
          <cell r="C232">
            <v>1226</v>
          </cell>
          <cell r="D232">
            <v>1900</v>
          </cell>
          <cell r="E232">
            <v>2200</v>
          </cell>
          <cell r="F232">
            <v>2500</v>
          </cell>
        </row>
        <row r="233">
          <cell r="A233" t="str">
            <v>SLS84136-TA</v>
          </cell>
          <cell r="B233" t="str">
            <v>フレコン滑車ＴＡ</v>
          </cell>
          <cell r="C233">
            <v>3091</v>
          </cell>
          <cell r="D233">
            <v>4600</v>
          </cell>
          <cell r="E233">
            <v>5000</v>
          </cell>
          <cell r="F233">
            <v>5500</v>
          </cell>
        </row>
        <row r="234">
          <cell r="A234" t="str">
            <v>SLS84136-TB</v>
          </cell>
          <cell r="B234" t="str">
            <v>フレコン滑車ＴＢ</v>
          </cell>
          <cell r="C234">
            <v>2800</v>
          </cell>
          <cell r="D234">
            <v>4200</v>
          </cell>
          <cell r="E234">
            <v>4600</v>
          </cell>
          <cell r="F234">
            <v>5000</v>
          </cell>
        </row>
        <row r="235">
          <cell r="A235" t="str">
            <v>SLS84136-P</v>
          </cell>
          <cell r="B235" t="str">
            <v>ガイドプレート</v>
          </cell>
          <cell r="C235">
            <v>470</v>
          </cell>
          <cell r="D235">
            <v>700</v>
          </cell>
          <cell r="E235">
            <v>800</v>
          </cell>
          <cell r="F235">
            <v>1000</v>
          </cell>
        </row>
        <row r="236">
          <cell r="A236" t="str">
            <v>SLS84036-M</v>
          </cell>
          <cell r="B236" t="str">
            <v>フレコンガイドＭ</v>
          </cell>
          <cell r="C236">
            <v>1114</v>
          </cell>
          <cell r="D236">
            <v>1500</v>
          </cell>
          <cell r="E236">
            <v>1700</v>
          </cell>
          <cell r="F236">
            <v>1900</v>
          </cell>
        </row>
        <row r="237">
          <cell r="A237" t="str">
            <v>SLS84036MT</v>
          </cell>
          <cell r="B237" t="str">
            <v>フレコンガイドＭT</v>
          </cell>
          <cell r="C237">
            <v>1306</v>
          </cell>
          <cell r="D237">
            <v>2000</v>
          </cell>
          <cell r="E237">
            <v>2200</v>
          </cell>
          <cell r="F237">
            <v>2500</v>
          </cell>
        </row>
        <row r="238">
          <cell r="A238" t="str">
            <v>SLS84036-N</v>
          </cell>
          <cell r="B238" t="str">
            <v>フレコンガイドＮ</v>
          </cell>
          <cell r="C238">
            <v>968</v>
          </cell>
          <cell r="D238">
            <v>1450</v>
          </cell>
          <cell r="E238">
            <v>1600</v>
          </cell>
          <cell r="F238">
            <v>1700</v>
          </cell>
        </row>
        <row r="239">
          <cell r="A239" t="str">
            <v>SLS84036-P</v>
          </cell>
          <cell r="B239" t="str">
            <v>ガイドプレートP</v>
          </cell>
          <cell r="C239">
            <v>452</v>
          </cell>
          <cell r="D239">
            <v>700</v>
          </cell>
          <cell r="E239">
            <v>800</v>
          </cell>
          <cell r="F239">
            <v>1000</v>
          </cell>
        </row>
        <row r="240">
          <cell r="A240" t="str">
            <v>SLS84036-T</v>
          </cell>
          <cell r="B240" t="str">
            <v>フレコンガイドT</v>
          </cell>
          <cell r="C240">
            <v>582</v>
          </cell>
          <cell r="D240">
            <v>1000</v>
          </cell>
          <cell r="E240">
            <v>1200</v>
          </cell>
          <cell r="F240">
            <v>1400</v>
          </cell>
        </row>
        <row r="241">
          <cell r="A241" t="str">
            <v>SLA81039-A</v>
          </cell>
          <cell r="B241" t="str">
            <v>ワイヤーアンナイジグ</v>
          </cell>
          <cell r="C241">
            <v>81</v>
          </cell>
          <cell r="D241">
            <v>1000</v>
          </cell>
          <cell r="E241">
            <v>1200</v>
          </cell>
          <cell r="F241">
            <v>1400</v>
          </cell>
        </row>
        <row r="242">
          <cell r="A242" t="str">
            <v>SLS81060-CB</v>
          </cell>
          <cell r="B242" t="str">
            <v>枠滑車スペーサーＣＢ</v>
          </cell>
          <cell r="C242">
            <v>160</v>
          </cell>
          <cell r="D242">
            <v>250</v>
          </cell>
          <cell r="E242">
            <v>300</v>
          </cell>
          <cell r="F242">
            <v>400</v>
          </cell>
        </row>
        <row r="243">
          <cell r="A243" t="str">
            <v>SLS81060-TA</v>
          </cell>
          <cell r="B243" t="str">
            <v>障子滑車スペーサーＴＡ</v>
          </cell>
          <cell r="C243">
            <v>184</v>
          </cell>
          <cell r="D243">
            <v>300</v>
          </cell>
          <cell r="E243">
            <v>400</v>
          </cell>
          <cell r="F243">
            <v>500</v>
          </cell>
        </row>
        <row r="244">
          <cell r="A244" t="str">
            <v>SLS81060-TC</v>
          </cell>
          <cell r="B244" t="str">
            <v>滑車用スペーサーＴＣ</v>
          </cell>
          <cell r="C244">
            <v>230</v>
          </cell>
          <cell r="D244">
            <v>350</v>
          </cell>
          <cell r="E244">
            <v>400</v>
          </cell>
          <cell r="F244">
            <v>500</v>
          </cell>
        </row>
        <row r="245">
          <cell r="A245" t="str">
            <v>SLS81060-WC</v>
          </cell>
          <cell r="B245" t="str">
            <v>障子滑車スペーサーＷＣ</v>
          </cell>
          <cell r="C245">
            <v>184</v>
          </cell>
          <cell r="D245">
            <v>300</v>
          </cell>
          <cell r="E245">
            <v>350</v>
          </cell>
          <cell r="F245">
            <v>400</v>
          </cell>
        </row>
        <row r="246">
          <cell r="A246" t="str">
            <v>SLS81060-YD</v>
          </cell>
          <cell r="B246" t="str">
            <v>スペーサーＹＤ</v>
          </cell>
          <cell r="C246">
            <v>184</v>
          </cell>
          <cell r="D246">
            <v>300</v>
          </cell>
          <cell r="E246">
            <v>350</v>
          </cell>
          <cell r="F246">
            <v>400</v>
          </cell>
        </row>
        <row r="247">
          <cell r="A247" t="str">
            <v>SLS83063-CA</v>
          </cell>
          <cell r="B247" t="str">
            <v>ローラーガイドＣＡ</v>
          </cell>
          <cell r="C247">
            <v>851</v>
          </cell>
          <cell r="D247">
            <v>1300</v>
          </cell>
          <cell r="E247">
            <v>1500</v>
          </cell>
          <cell r="F247">
            <v>1700</v>
          </cell>
        </row>
        <row r="248">
          <cell r="A248" t="str">
            <v>SLS83063-CB</v>
          </cell>
          <cell r="B248" t="str">
            <v>ローラーガイドＣＢ</v>
          </cell>
          <cell r="C248">
            <v>951</v>
          </cell>
          <cell r="D248">
            <v>1450</v>
          </cell>
          <cell r="E248">
            <v>1600</v>
          </cell>
          <cell r="F248">
            <v>1800</v>
          </cell>
        </row>
        <row r="249">
          <cell r="A249" t="str">
            <v>SLA82131-10M</v>
          </cell>
          <cell r="B249" t="str">
            <v>コンジット９ １０Ｍ</v>
          </cell>
          <cell r="C249">
            <v>1619</v>
          </cell>
          <cell r="D249">
            <v>2400</v>
          </cell>
          <cell r="E249">
            <v>2700</v>
          </cell>
          <cell r="F249">
            <v>3200</v>
          </cell>
        </row>
        <row r="250">
          <cell r="A250" t="str">
            <v>SLA82131-25M</v>
          </cell>
          <cell r="B250" t="str">
            <v>コンジット９ ２５Ｍ</v>
          </cell>
          <cell r="C250">
            <v>3688</v>
          </cell>
          <cell r="D250">
            <v>5800</v>
          </cell>
          <cell r="E250">
            <v>6600</v>
          </cell>
          <cell r="F250">
            <v>7600</v>
          </cell>
        </row>
        <row r="251">
          <cell r="A251" t="str">
            <v>SLA82131-50M</v>
          </cell>
          <cell r="B251" t="str">
            <v>コンジット９ ５０Ｍ</v>
          </cell>
          <cell r="C251">
            <v>7049</v>
          </cell>
          <cell r="D251">
            <v>11300</v>
          </cell>
          <cell r="E251">
            <v>12800</v>
          </cell>
          <cell r="F251">
            <v>14300</v>
          </cell>
        </row>
        <row r="252">
          <cell r="A252" t="str">
            <v>SLB82131-10M</v>
          </cell>
          <cell r="B252" t="str">
            <v>コンジット９ １０Ｍブロンズ</v>
          </cell>
          <cell r="C252">
            <v>1619</v>
          </cell>
          <cell r="D252">
            <v>2400</v>
          </cell>
          <cell r="E252">
            <v>2700</v>
          </cell>
          <cell r="F252">
            <v>3200</v>
          </cell>
        </row>
        <row r="253">
          <cell r="A253" t="str">
            <v>SLB82131-25M</v>
          </cell>
          <cell r="B253" t="str">
            <v>コンジット９ ２５Ｍブロンズ</v>
          </cell>
          <cell r="C253">
            <v>3688</v>
          </cell>
          <cell r="D253">
            <v>5800</v>
          </cell>
          <cell r="E253">
            <v>6800</v>
          </cell>
          <cell r="F253">
            <v>7800</v>
          </cell>
        </row>
        <row r="254">
          <cell r="A254" t="str">
            <v>SLB82131-50M</v>
          </cell>
          <cell r="B254" t="str">
            <v>コンジット９ ５０Ｍブロンズ</v>
          </cell>
          <cell r="C254">
            <v>7049</v>
          </cell>
          <cell r="D254">
            <v>11300</v>
          </cell>
          <cell r="E254">
            <v>13300</v>
          </cell>
          <cell r="F254">
            <v>15300</v>
          </cell>
        </row>
        <row r="255">
          <cell r="A255" t="str">
            <v>SLA80131-10M</v>
          </cell>
          <cell r="B255" t="str">
            <v>コンジット１１ １０Ｍ</v>
          </cell>
          <cell r="C255">
            <v>2887</v>
          </cell>
          <cell r="D255">
            <v>4300</v>
          </cell>
          <cell r="E255">
            <v>4800</v>
          </cell>
          <cell r="F255">
            <v>5300</v>
          </cell>
        </row>
        <row r="256">
          <cell r="A256" t="str">
            <v>SLA80131-25M</v>
          </cell>
          <cell r="B256" t="str">
            <v>コンジット１１ ２５Ｍ</v>
          </cell>
          <cell r="C256">
            <v>6989</v>
          </cell>
          <cell r="D256">
            <v>11300</v>
          </cell>
          <cell r="E256">
            <v>12700</v>
          </cell>
          <cell r="F256">
            <v>14300</v>
          </cell>
        </row>
        <row r="257">
          <cell r="A257" t="str">
            <v>SLA80131-50M</v>
          </cell>
          <cell r="B257" t="str">
            <v>コンジット１１ ５０Ｍ</v>
          </cell>
          <cell r="C257">
            <v>13892</v>
          </cell>
          <cell r="D257">
            <v>19500</v>
          </cell>
          <cell r="E257">
            <v>21500</v>
          </cell>
          <cell r="F257">
            <v>24500</v>
          </cell>
        </row>
        <row r="258">
          <cell r="A258" t="str">
            <v>SLS811308M</v>
          </cell>
          <cell r="B258" t="str">
            <v>ロープ１．８パイ８Ｍ</v>
          </cell>
          <cell r="C258">
            <v>656</v>
          </cell>
          <cell r="D258">
            <v>1000</v>
          </cell>
          <cell r="E258">
            <v>1500</v>
          </cell>
          <cell r="F258">
            <v>2000</v>
          </cell>
        </row>
        <row r="259">
          <cell r="A259" t="str">
            <v>SLS81130-10M</v>
          </cell>
          <cell r="B259" t="str">
            <v>ロープ１．８パイ１０Ｍ</v>
          </cell>
          <cell r="C259">
            <v>563</v>
          </cell>
          <cell r="D259">
            <v>1000</v>
          </cell>
          <cell r="E259">
            <v>1500</v>
          </cell>
          <cell r="F259">
            <v>2000</v>
          </cell>
        </row>
        <row r="260">
          <cell r="A260" t="str">
            <v>SLS81130-14M</v>
          </cell>
          <cell r="B260" t="str">
            <v>ロープ１．８パイ１４Ｍ</v>
          </cell>
          <cell r="C260">
            <v>766</v>
          </cell>
          <cell r="D260">
            <v>1500</v>
          </cell>
          <cell r="E260">
            <v>2000</v>
          </cell>
          <cell r="F260">
            <v>2500</v>
          </cell>
        </row>
        <row r="261">
          <cell r="A261" t="str">
            <v>SLS81130-18M</v>
          </cell>
          <cell r="B261" t="str">
            <v>ロープ１．８パイ１８Ｍ</v>
          </cell>
          <cell r="C261">
            <v>940</v>
          </cell>
          <cell r="D261">
            <v>2000</v>
          </cell>
          <cell r="E261">
            <v>2500</v>
          </cell>
          <cell r="F261">
            <v>3000</v>
          </cell>
        </row>
        <row r="262">
          <cell r="A262" t="str">
            <v>SLS81130-26M</v>
          </cell>
          <cell r="B262" t="str">
            <v>ロープ１．８パイ２６Ｍ</v>
          </cell>
          <cell r="C262">
            <v>1347</v>
          </cell>
          <cell r="D262">
            <v>2500</v>
          </cell>
          <cell r="E262">
            <v>3000</v>
          </cell>
          <cell r="F262">
            <v>4000</v>
          </cell>
        </row>
        <row r="263">
          <cell r="A263" t="str">
            <v>SLS81130-50M</v>
          </cell>
          <cell r="B263" t="str">
            <v>ロープ１．８パイ５０Ｍ</v>
          </cell>
          <cell r="C263">
            <v>2762</v>
          </cell>
          <cell r="D263">
            <v>4500</v>
          </cell>
          <cell r="E263">
            <v>5000</v>
          </cell>
          <cell r="F263">
            <v>6500</v>
          </cell>
        </row>
        <row r="264">
          <cell r="A264" t="str">
            <v>SLA81041</v>
          </cell>
          <cell r="B264" t="str">
            <v>ケーシングキャップ</v>
          </cell>
          <cell r="C264">
            <v>333</v>
          </cell>
          <cell r="D264">
            <v>500</v>
          </cell>
          <cell r="E264">
            <v>600</v>
          </cell>
          <cell r="F264">
            <v>700</v>
          </cell>
        </row>
        <row r="265">
          <cell r="A265" t="str">
            <v>SLS84141-100T</v>
          </cell>
          <cell r="B265" t="str">
            <v>ケーシングキャップ</v>
          </cell>
          <cell r="C265">
            <v>470</v>
          </cell>
          <cell r="D265">
            <v>700</v>
          </cell>
          <cell r="E265">
            <v>800</v>
          </cell>
          <cell r="F265">
            <v>900</v>
          </cell>
        </row>
        <row r="266">
          <cell r="A266" t="str">
            <v>SLA80010-02</v>
          </cell>
          <cell r="B266" t="str">
            <v>ケーシングキャップ１１</v>
          </cell>
          <cell r="C266">
            <v>612</v>
          </cell>
          <cell r="D266">
            <v>900</v>
          </cell>
          <cell r="E266">
            <v>1000</v>
          </cell>
          <cell r="F266">
            <v>1200</v>
          </cell>
        </row>
        <row r="267">
          <cell r="A267" t="str">
            <v>SLA82041A</v>
          </cell>
          <cell r="B267" t="str">
            <v>ケーシングキャップ９</v>
          </cell>
          <cell r="C267">
            <v>72</v>
          </cell>
          <cell r="D267">
            <v>200</v>
          </cell>
          <cell r="E267">
            <v>250</v>
          </cell>
          <cell r="F267">
            <v>300</v>
          </cell>
        </row>
        <row r="268">
          <cell r="A268" t="str">
            <v>SLB82041A</v>
          </cell>
          <cell r="B268" t="str">
            <v>ケーシングキャップ９ブロンズ</v>
          </cell>
          <cell r="C268">
            <v>90</v>
          </cell>
          <cell r="D268">
            <v>200</v>
          </cell>
          <cell r="E268">
            <v>250</v>
          </cell>
          <cell r="F268">
            <v>300</v>
          </cell>
        </row>
        <row r="269">
          <cell r="A269" t="str">
            <v>SLA82041-C</v>
          </cell>
          <cell r="B269" t="str">
            <v>ケーシングキャップ９－９０</v>
          </cell>
          <cell r="C269">
            <v>592</v>
          </cell>
          <cell r="D269">
            <v>900</v>
          </cell>
          <cell r="E269">
            <v>1100</v>
          </cell>
          <cell r="F269">
            <v>1300</v>
          </cell>
        </row>
        <row r="270">
          <cell r="A270" t="str">
            <v>SLA82041B</v>
          </cell>
          <cell r="B270" t="str">
            <v>ケ－シングキャップ９Ｂ</v>
          </cell>
          <cell r="C270">
            <v>493</v>
          </cell>
          <cell r="D270">
            <v>750</v>
          </cell>
          <cell r="E270">
            <v>900</v>
          </cell>
          <cell r="F270">
            <v>1000</v>
          </cell>
        </row>
        <row r="271">
          <cell r="A271" t="str">
            <v>SLA84036-200</v>
          </cell>
          <cell r="B271" t="str">
            <v>ケーシングキャップ９パイ</v>
          </cell>
          <cell r="C271">
            <v>363</v>
          </cell>
          <cell r="D271">
            <v>500</v>
          </cell>
          <cell r="E271">
            <v>600</v>
          </cell>
          <cell r="F271">
            <v>600</v>
          </cell>
        </row>
        <row r="272">
          <cell r="A272" t="str">
            <v>SLS84036-100</v>
          </cell>
          <cell r="B272" t="str">
            <v>ケーシングキャップ９パイ</v>
          </cell>
          <cell r="C272">
            <v>353</v>
          </cell>
          <cell r="D272">
            <v>500</v>
          </cell>
          <cell r="E272">
            <v>600</v>
          </cell>
          <cell r="F272">
            <v>600</v>
          </cell>
        </row>
        <row r="273">
          <cell r="A273" t="str">
            <v>SLA80010-03</v>
          </cell>
          <cell r="B273" t="str">
            <v>コンジットクランプ１１</v>
          </cell>
          <cell r="C273">
            <v>60</v>
          </cell>
          <cell r="D273">
            <v>85</v>
          </cell>
          <cell r="E273">
            <v>100</v>
          </cell>
          <cell r="F273">
            <v>120</v>
          </cell>
        </row>
        <row r="274">
          <cell r="A274" t="str">
            <v>SLA81042</v>
          </cell>
          <cell r="B274" t="str">
            <v>コンジットクランプ</v>
          </cell>
          <cell r="C274">
            <v>25</v>
          </cell>
          <cell r="D274">
            <v>50</v>
          </cell>
          <cell r="E274">
            <v>50</v>
          </cell>
          <cell r="F274">
            <v>50</v>
          </cell>
        </row>
        <row r="275">
          <cell r="A275" t="str">
            <v>SLA82042</v>
          </cell>
          <cell r="B275" t="str">
            <v>コンジットクランプ９</v>
          </cell>
          <cell r="C275">
            <v>21</v>
          </cell>
          <cell r="D275">
            <v>50</v>
          </cell>
          <cell r="E275">
            <v>50</v>
          </cell>
          <cell r="F275">
            <v>50</v>
          </cell>
        </row>
        <row r="276">
          <cell r="A276" t="str">
            <v>SLB82042</v>
          </cell>
          <cell r="B276" t="str">
            <v>コンジットクランプ９ブロンズ</v>
          </cell>
          <cell r="C276">
            <v>62</v>
          </cell>
          <cell r="D276">
            <v>100</v>
          </cell>
          <cell r="E276">
            <v>150</v>
          </cell>
          <cell r="F276">
            <v>150</v>
          </cell>
        </row>
        <row r="277">
          <cell r="A277" t="str">
            <v>SLA82012</v>
          </cell>
          <cell r="B277" t="str">
            <v>連結ケーシングキャップ９</v>
          </cell>
          <cell r="C277">
            <v>795</v>
          </cell>
          <cell r="D277">
            <v>1200</v>
          </cell>
          <cell r="E277">
            <v>1500</v>
          </cell>
          <cell r="F277">
            <v>1500</v>
          </cell>
        </row>
        <row r="278">
          <cell r="A278" t="str">
            <v>SLB82012</v>
          </cell>
          <cell r="B278" t="str">
            <v>連結ケーシングキャップ９ブロンズ</v>
          </cell>
          <cell r="C278">
            <v>784</v>
          </cell>
          <cell r="D278">
            <v>1200</v>
          </cell>
          <cell r="E278">
            <v>1500</v>
          </cell>
          <cell r="F278">
            <v>1500</v>
          </cell>
        </row>
        <row r="279">
          <cell r="A279" t="str">
            <v>SLB82041-C</v>
          </cell>
          <cell r="B279" t="str">
            <v>ケーシングキャップ９－９０ブロンズ</v>
          </cell>
          <cell r="C279">
            <v>592</v>
          </cell>
          <cell r="D279">
            <v>1000</v>
          </cell>
          <cell r="E279">
            <v>1200</v>
          </cell>
          <cell r="F279">
            <v>1400</v>
          </cell>
        </row>
        <row r="280">
          <cell r="A280" t="str">
            <v>TKN-001</v>
          </cell>
          <cell r="B280" t="str">
            <v>高ナット</v>
          </cell>
          <cell r="C280">
            <v>28</v>
          </cell>
          <cell r="D280">
            <v>100</v>
          </cell>
          <cell r="E280">
            <v>150</v>
          </cell>
          <cell r="F280">
            <v>150</v>
          </cell>
        </row>
        <row r="281">
          <cell r="A281" t="str">
            <v>SLS80002-26M</v>
          </cell>
          <cell r="B281" t="str">
            <v>ロープ２．０パイ２６Ｍ</v>
          </cell>
          <cell r="C281">
            <v>2349</v>
          </cell>
          <cell r="D281">
            <v>3500</v>
          </cell>
          <cell r="E281">
            <v>3900</v>
          </cell>
          <cell r="F281">
            <v>4500</v>
          </cell>
        </row>
        <row r="282">
          <cell r="A282" t="str">
            <v>BU-4801</v>
          </cell>
          <cell r="B282" t="str">
            <v>コードブッシュ</v>
          </cell>
          <cell r="C282">
            <v>71</v>
          </cell>
          <cell r="D282">
            <v>200</v>
          </cell>
          <cell r="E282">
            <v>250</v>
          </cell>
          <cell r="F282">
            <v>300</v>
          </cell>
        </row>
        <row r="283">
          <cell r="A283" t="str">
            <v>SLA80090</v>
          </cell>
          <cell r="B283" t="str">
            <v>Ａ－２０Ｌグリス</v>
          </cell>
          <cell r="C283">
            <v>1436</v>
          </cell>
          <cell r="D283">
            <v>2000</v>
          </cell>
          <cell r="E283">
            <v>2500</v>
          </cell>
          <cell r="F283">
            <v>3000</v>
          </cell>
        </row>
        <row r="284">
          <cell r="A284" t="str">
            <v>O-C-1</v>
          </cell>
          <cell r="B284" t="str">
            <v>スローマスター</v>
          </cell>
          <cell r="C284">
            <v>14391</v>
          </cell>
          <cell r="D284">
            <v>21500</v>
          </cell>
          <cell r="E284">
            <v>23700</v>
          </cell>
          <cell r="F284">
            <v>26500</v>
          </cell>
        </row>
        <row r="285">
          <cell r="A285" t="str">
            <v>O-P-1</v>
          </cell>
          <cell r="B285" t="str">
            <v>プッシャー</v>
          </cell>
          <cell r="C285">
            <v>1361</v>
          </cell>
          <cell r="D285">
            <v>2000</v>
          </cell>
          <cell r="E285">
            <v>2500</v>
          </cell>
          <cell r="F285">
            <v>3000</v>
          </cell>
        </row>
        <row r="286">
          <cell r="A286" t="str">
            <v>O-P-1-B</v>
          </cell>
          <cell r="B286" t="str">
            <v>プツシヤ－ブロンズ</v>
          </cell>
          <cell r="C286">
            <v>1361</v>
          </cell>
          <cell r="D286">
            <v>2000</v>
          </cell>
          <cell r="E286">
            <v>2500</v>
          </cell>
          <cell r="F286">
            <v>3000</v>
          </cell>
        </row>
        <row r="287">
          <cell r="A287" t="str">
            <v>SLA80070-AL</v>
          </cell>
          <cell r="B287" t="str">
            <v>プッシャーＬ</v>
          </cell>
          <cell r="C287">
            <v>1351</v>
          </cell>
          <cell r="D287">
            <v>2000</v>
          </cell>
          <cell r="E287">
            <v>2500</v>
          </cell>
          <cell r="F287">
            <v>3000</v>
          </cell>
        </row>
        <row r="288">
          <cell r="A288" t="str">
            <v>SLA80070-AR</v>
          </cell>
          <cell r="B288" t="str">
            <v>プッシャーＲ</v>
          </cell>
          <cell r="C288">
            <v>1351</v>
          </cell>
          <cell r="D288">
            <v>2000</v>
          </cell>
          <cell r="E288">
            <v>2500</v>
          </cell>
          <cell r="F288">
            <v>3000</v>
          </cell>
        </row>
        <row r="289">
          <cell r="A289" t="str">
            <v>BOP-79</v>
          </cell>
          <cell r="B289" t="str">
            <v>ウエイトバー</v>
          </cell>
          <cell r="C289">
            <v>286</v>
          </cell>
          <cell r="D289">
            <v>450</v>
          </cell>
          <cell r="E289">
            <v>550</v>
          </cell>
          <cell r="F289">
            <v>600</v>
          </cell>
        </row>
        <row r="290">
          <cell r="A290" t="str">
            <v>SLS81060-NC</v>
          </cell>
          <cell r="B290" t="str">
            <v>当て板</v>
          </cell>
          <cell r="C290">
            <v>69</v>
          </cell>
          <cell r="D290">
            <v>100</v>
          </cell>
          <cell r="E290">
            <v>150</v>
          </cell>
          <cell r="F290">
            <v>200</v>
          </cell>
        </row>
        <row r="291">
          <cell r="A291" t="str">
            <v>KA88-1350-120</v>
          </cell>
          <cell r="B291" t="str">
            <v>貫通パイプL120</v>
          </cell>
          <cell r="C291">
            <v>156</v>
          </cell>
          <cell r="D291">
            <v>200</v>
          </cell>
          <cell r="E291">
            <v>300</v>
          </cell>
          <cell r="F291">
            <v>300</v>
          </cell>
        </row>
        <row r="292">
          <cell r="A292" t="str">
            <v>KA88-1350-80</v>
          </cell>
          <cell r="B292" t="str">
            <v>貫通パイプL80</v>
          </cell>
          <cell r="C292">
            <v>148</v>
          </cell>
          <cell r="D292">
            <v>200</v>
          </cell>
          <cell r="E292">
            <v>300</v>
          </cell>
          <cell r="F292">
            <v>300</v>
          </cell>
        </row>
        <row r="293">
          <cell r="A293" t="str">
            <v>SLS84040-TY</v>
          </cell>
          <cell r="B293" t="str">
            <v>貫通パイプ用スリーブＴＹ</v>
          </cell>
          <cell r="C293">
            <v>152</v>
          </cell>
          <cell r="D293">
            <v>200</v>
          </cell>
          <cell r="E293">
            <v>300</v>
          </cell>
          <cell r="F293">
            <v>300</v>
          </cell>
        </row>
        <row r="294">
          <cell r="A294" t="str">
            <v>SLS84040-TY-15</v>
          </cell>
          <cell r="B294" t="str">
            <v>貫通パイプスリーブ１５</v>
          </cell>
          <cell r="C294">
            <v>82</v>
          </cell>
          <cell r="D294">
            <v>200</v>
          </cell>
          <cell r="E294">
            <v>300</v>
          </cell>
          <cell r="F294">
            <v>300</v>
          </cell>
        </row>
        <row r="295">
          <cell r="A295" t="str">
            <v>SLS84260-A</v>
          </cell>
          <cell r="B295" t="str">
            <v>滑り材</v>
          </cell>
          <cell r="C295">
            <v>243</v>
          </cell>
          <cell r="D295">
            <v>400</v>
          </cell>
          <cell r="E295">
            <v>500</v>
          </cell>
          <cell r="F295">
            <v>500</v>
          </cell>
        </row>
        <row r="296">
          <cell r="A296" t="str">
            <v>SLA30201</v>
          </cell>
          <cell r="B296" t="str">
            <v>ハンドルボックス</v>
          </cell>
          <cell r="C296">
            <v>7358</v>
          </cell>
          <cell r="D296">
            <v>11000</v>
          </cell>
          <cell r="E296">
            <v>12500</v>
          </cell>
          <cell r="F296">
            <v>13500</v>
          </cell>
        </row>
        <row r="297">
          <cell r="A297" t="str">
            <v>SLA30220-A-200</v>
          </cell>
          <cell r="B297" t="str">
            <v>ＨＢＯＸ３００本体</v>
          </cell>
          <cell r="C297">
            <v>9507</v>
          </cell>
          <cell r="D297">
            <v>14000</v>
          </cell>
          <cell r="E297">
            <v>15500</v>
          </cell>
          <cell r="F297">
            <v>17000</v>
          </cell>
        </row>
        <row r="298">
          <cell r="A298" t="str">
            <v>SLA30420-A-100</v>
          </cell>
          <cell r="B298" t="str">
            <v>ＨＢＯＸ３００フェース</v>
          </cell>
          <cell r="C298">
            <v>7461</v>
          </cell>
          <cell r="D298">
            <v>11500</v>
          </cell>
          <cell r="E298">
            <v>12500</v>
          </cell>
          <cell r="F298">
            <v>13500</v>
          </cell>
        </row>
        <row r="299">
          <cell r="A299" t="str">
            <v>SLA30420-A-100T</v>
          </cell>
          <cell r="B299" t="str">
            <v>ＨＢＯＸ３００排煙文字無しフェース</v>
          </cell>
          <cell r="C299">
            <v>9369</v>
          </cell>
          <cell r="D299">
            <v>15000</v>
          </cell>
          <cell r="E299">
            <v>16000</v>
          </cell>
          <cell r="F299">
            <v>18000</v>
          </cell>
        </row>
        <row r="300">
          <cell r="A300" t="str">
            <v>SLS30201</v>
          </cell>
          <cell r="B300" t="str">
            <v>ハンドルボツクスＳＵＳ</v>
          </cell>
          <cell r="C300">
            <v>9314</v>
          </cell>
          <cell r="D300">
            <v>14000</v>
          </cell>
          <cell r="E300">
            <v>15500</v>
          </cell>
          <cell r="F300">
            <v>18000</v>
          </cell>
        </row>
        <row r="301">
          <cell r="A301" t="str">
            <v>SLA30301-10-SB</v>
          </cell>
          <cell r="B301" t="str">
            <v>新色ハンドル</v>
          </cell>
          <cell r="C301">
            <v>875</v>
          </cell>
          <cell r="D301">
            <v>1300</v>
          </cell>
          <cell r="E301">
            <v>1500</v>
          </cell>
          <cell r="F301">
            <v>1700</v>
          </cell>
        </row>
        <row r="302">
          <cell r="A302" t="str">
            <v>SLA30201-52</v>
          </cell>
          <cell r="B302" t="str">
            <v>SL300用埋め込みジョインター</v>
          </cell>
          <cell r="C302">
            <v>584</v>
          </cell>
          <cell r="D302">
            <v>1200</v>
          </cell>
          <cell r="E302">
            <v>1300</v>
          </cell>
          <cell r="F302">
            <v>1500</v>
          </cell>
        </row>
        <row r="303">
          <cell r="A303" t="str">
            <v>SLA30250-A</v>
          </cell>
          <cell r="B303" t="str">
            <v>30201用L100ハンドル</v>
          </cell>
          <cell r="C303">
            <v>1305</v>
          </cell>
          <cell r="D303">
            <v>3000</v>
          </cell>
          <cell r="E303">
            <v>3000</v>
          </cell>
          <cell r="F303">
            <v>3000</v>
          </cell>
        </row>
        <row r="304">
          <cell r="A304" t="str">
            <v>SLA30120-111T</v>
          </cell>
          <cell r="B304" t="str">
            <v>マグネットキャッチ</v>
          </cell>
          <cell r="C304">
            <v>710</v>
          </cell>
          <cell r="D304">
            <v>1500</v>
          </cell>
          <cell r="E304">
            <v>1500</v>
          </cell>
          <cell r="F304">
            <v>2000</v>
          </cell>
        </row>
        <row r="305">
          <cell r="A305" t="str">
            <v>SLA30013</v>
          </cell>
          <cell r="B305" t="str">
            <v>ベ－スプレ－ト</v>
          </cell>
          <cell r="C305">
            <v>561</v>
          </cell>
          <cell r="D305">
            <v>1000</v>
          </cell>
          <cell r="E305">
            <v>1500</v>
          </cell>
          <cell r="F305">
            <v>1500</v>
          </cell>
        </row>
        <row r="306">
          <cell r="A306" t="str">
            <v>SLB30150-A</v>
          </cell>
          <cell r="B306" t="str">
            <v>ハンドルＬ＝１００ブロンズ</v>
          </cell>
          <cell r="C306">
            <v>1215</v>
          </cell>
          <cell r="D306">
            <v>1800</v>
          </cell>
          <cell r="E306">
            <v>2000</v>
          </cell>
          <cell r="F306">
            <v>2400</v>
          </cell>
        </row>
        <row r="307">
          <cell r="A307" t="str">
            <v>SLA20150-A</v>
          </cell>
          <cell r="B307" t="str">
            <v>チェーンケース外倒シ用</v>
          </cell>
          <cell r="C307">
            <v>6583</v>
          </cell>
          <cell r="D307">
            <v>10000</v>
          </cell>
          <cell r="E307">
            <v>11000</v>
          </cell>
          <cell r="F307">
            <v>12500</v>
          </cell>
        </row>
        <row r="308">
          <cell r="A308" t="str">
            <v>SLB20150-A</v>
          </cell>
          <cell r="B308" t="str">
            <v>チェーンケース外倒し用ブロンズ</v>
          </cell>
          <cell r="C308">
            <v>6479</v>
          </cell>
          <cell r="D308">
            <v>10000</v>
          </cell>
          <cell r="E308">
            <v>11000</v>
          </cell>
          <cell r="F308">
            <v>12500</v>
          </cell>
        </row>
        <row r="309">
          <cell r="A309" t="str">
            <v>SLA25202-A</v>
          </cell>
          <cell r="B309" t="str">
            <v>コネクタ－セットＡ</v>
          </cell>
          <cell r="C309">
            <v>4051</v>
          </cell>
          <cell r="D309">
            <v>6200</v>
          </cell>
          <cell r="E309">
            <v>7200</v>
          </cell>
          <cell r="F309">
            <v>8200</v>
          </cell>
        </row>
        <row r="310">
          <cell r="A310" t="str">
            <v>SLA25202-C</v>
          </cell>
          <cell r="B310" t="str">
            <v>コネクタ－セットＣ</v>
          </cell>
          <cell r="C310">
            <v>4913</v>
          </cell>
          <cell r="D310">
            <v>7600</v>
          </cell>
          <cell r="E310">
            <v>8600</v>
          </cell>
          <cell r="F310">
            <v>10700</v>
          </cell>
        </row>
        <row r="311">
          <cell r="A311" t="str">
            <v>SLB25202-A</v>
          </cell>
          <cell r="B311" t="str">
            <v>コネクタ－セットＡブロンズ</v>
          </cell>
          <cell r="C311">
            <v>4051</v>
          </cell>
          <cell r="D311">
            <v>6200</v>
          </cell>
          <cell r="E311">
            <v>7200</v>
          </cell>
          <cell r="F311">
            <v>8200</v>
          </cell>
        </row>
        <row r="312">
          <cell r="A312" t="str">
            <v>SLB25202-C</v>
          </cell>
          <cell r="B312" t="str">
            <v>コネクタ－セットブロンズ</v>
          </cell>
          <cell r="C312">
            <v>4810</v>
          </cell>
          <cell r="D312">
            <v>7600</v>
          </cell>
          <cell r="E312">
            <v>8600</v>
          </cell>
          <cell r="F312">
            <v>10700</v>
          </cell>
        </row>
        <row r="313">
          <cell r="A313" t="str">
            <v>SLS25202-A</v>
          </cell>
          <cell r="B313" t="str">
            <v>コネクタ－セットＡＳＵＳ</v>
          </cell>
          <cell r="C313">
            <v>4532</v>
          </cell>
          <cell r="D313">
            <v>6800</v>
          </cell>
          <cell r="E313">
            <v>8200</v>
          </cell>
          <cell r="F313">
            <v>9700</v>
          </cell>
        </row>
        <row r="314">
          <cell r="A314" t="str">
            <v>SLS25202-C</v>
          </cell>
          <cell r="B314" t="str">
            <v>コネクタ－セットＣＳＵＳ</v>
          </cell>
          <cell r="C314">
            <v>4952</v>
          </cell>
          <cell r="D314">
            <v>7600</v>
          </cell>
          <cell r="E314">
            <v>8600</v>
          </cell>
          <cell r="F314">
            <v>10600</v>
          </cell>
        </row>
        <row r="315">
          <cell r="A315" t="str">
            <v>SLSB25202-A</v>
          </cell>
          <cell r="B315" t="str">
            <v>コネクタ－セットＡＳＵＳブロンズ</v>
          </cell>
          <cell r="C315">
            <v>4530</v>
          </cell>
          <cell r="D315">
            <v>6800</v>
          </cell>
          <cell r="E315">
            <v>8300</v>
          </cell>
          <cell r="F315">
            <v>9800</v>
          </cell>
        </row>
        <row r="316">
          <cell r="A316" t="str">
            <v>SLSB25202-C</v>
          </cell>
          <cell r="B316" t="str">
            <v>コネクタ－セットＣＳＵＳブロンズ</v>
          </cell>
          <cell r="C316">
            <v>4952</v>
          </cell>
          <cell r="D316">
            <v>7600</v>
          </cell>
          <cell r="E316">
            <v>8700</v>
          </cell>
          <cell r="F316">
            <v>11000</v>
          </cell>
        </row>
        <row r="317">
          <cell r="A317" t="str">
            <v>SLA30050-A</v>
          </cell>
          <cell r="B317" t="str">
            <v>チェーンケース５０パイ</v>
          </cell>
          <cell r="C317">
            <v>8161</v>
          </cell>
          <cell r="D317">
            <v>12300</v>
          </cell>
          <cell r="E317">
            <v>14200</v>
          </cell>
          <cell r="F317">
            <v>16200</v>
          </cell>
        </row>
        <row r="318">
          <cell r="A318" t="str">
            <v>SLA30050-B</v>
          </cell>
          <cell r="B318" t="str">
            <v>チェーンケースＢ５０パイ</v>
          </cell>
          <cell r="C318">
            <v>7609</v>
          </cell>
          <cell r="D318">
            <v>11500</v>
          </cell>
          <cell r="E318">
            <v>13200</v>
          </cell>
          <cell r="F318">
            <v>15200</v>
          </cell>
        </row>
        <row r="319">
          <cell r="A319" t="str">
            <v>SLA30102</v>
          </cell>
          <cell r="B319" t="str">
            <v>チェ－ンケ－スシングル</v>
          </cell>
          <cell r="C319">
            <v>6444</v>
          </cell>
          <cell r="D319">
            <v>9700</v>
          </cell>
          <cell r="E319">
            <v>11200</v>
          </cell>
          <cell r="F319">
            <v>12700</v>
          </cell>
        </row>
        <row r="320">
          <cell r="A320" t="str">
            <v>SLA30202</v>
          </cell>
          <cell r="B320" t="str">
            <v>チェ－ンケ－スダブル</v>
          </cell>
          <cell r="C320">
            <v>8249</v>
          </cell>
          <cell r="D320">
            <v>12400</v>
          </cell>
          <cell r="E320">
            <v>13700</v>
          </cell>
          <cell r="F320">
            <v>15800</v>
          </cell>
        </row>
        <row r="321">
          <cell r="A321" t="str">
            <v>SLB30050-A</v>
          </cell>
          <cell r="B321" t="str">
            <v>チェーンケース５０パイブロンズ</v>
          </cell>
          <cell r="C321">
            <v>8163</v>
          </cell>
          <cell r="D321">
            <v>12300</v>
          </cell>
          <cell r="E321">
            <v>14200</v>
          </cell>
          <cell r="F321">
            <v>16200</v>
          </cell>
        </row>
        <row r="322">
          <cell r="A322" t="str">
            <v>SLB30050-B</v>
          </cell>
          <cell r="B322" t="str">
            <v>チェーンケースＢ５０パイブロンズ</v>
          </cell>
          <cell r="C322">
            <v>7488</v>
          </cell>
          <cell r="D322">
            <v>11500</v>
          </cell>
          <cell r="E322">
            <v>13200</v>
          </cell>
          <cell r="F322">
            <v>15200</v>
          </cell>
        </row>
        <row r="323">
          <cell r="A323" t="str">
            <v>SLB30102</v>
          </cell>
          <cell r="B323" t="str">
            <v>チェ－ンケ－スシングルブロンズ</v>
          </cell>
          <cell r="C323">
            <v>6446</v>
          </cell>
          <cell r="D323">
            <v>9700</v>
          </cell>
          <cell r="E323">
            <v>11200</v>
          </cell>
          <cell r="F323">
            <v>12700</v>
          </cell>
        </row>
        <row r="324">
          <cell r="A324" t="str">
            <v>SLB30202</v>
          </cell>
          <cell r="B324" t="str">
            <v>チェ－ンケ－スダブルブロンズ</v>
          </cell>
          <cell r="C324">
            <v>8251</v>
          </cell>
          <cell r="D324">
            <v>12400</v>
          </cell>
          <cell r="E324">
            <v>13700</v>
          </cell>
          <cell r="F324">
            <v>15800</v>
          </cell>
        </row>
        <row r="325">
          <cell r="A325" t="str">
            <v>SLS30050-A</v>
          </cell>
          <cell r="B325" t="str">
            <v>チェーンケースＡ５０パイＳＵＳ</v>
          </cell>
          <cell r="C325">
            <v>13983</v>
          </cell>
          <cell r="D325">
            <v>21000</v>
          </cell>
          <cell r="E325">
            <v>24300</v>
          </cell>
          <cell r="F325">
            <v>27800</v>
          </cell>
        </row>
        <row r="326">
          <cell r="A326" t="str">
            <v>SLS30050-B</v>
          </cell>
          <cell r="B326" t="str">
            <v>チェーンケースＢ５０パイＳＵＳ</v>
          </cell>
          <cell r="C326">
            <v>13439</v>
          </cell>
          <cell r="D326">
            <v>20200</v>
          </cell>
          <cell r="E326">
            <v>23200</v>
          </cell>
          <cell r="F326">
            <v>26700</v>
          </cell>
        </row>
        <row r="327">
          <cell r="A327" t="str">
            <v>SLS30102</v>
          </cell>
          <cell r="B327" t="str">
            <v>チェーンケースＳＳＵＳ</v>
          </cell>
          <cell r="C327">
            <v>8564</v>
          </cell>
          <cell r="D327">
            <v>12800</v>
          </cell>
          <cell r="E327">
            <v>15300</v>
          </cell>
          <cell r="F327">
            <v>17300</v>
          </cell>
        </row>
        <row r="328">
          <cell r="A328" t="str">
            <v>SLSB30050-A</v>
          </cell>
          <cell r="B328" t="str">
            <v>チェーンケースＡ５０パイＳＵＳブロンズ</v>
          </cell>
          <cell r="C328">
            <v>13756</v>
          </cell>
          <cell r="D328">
            <v>20700</v>
          </cell>
          <cell r="E328">
            <v>24000</v>
          </cell>
          <cell r="F328">
            <v>27700</v>
          </cell>
        </row>
        <row r="329">
          <cell r="A329" t="str">
            <v>SLSB30050-B</v>
          </cell>
          <cell r="B329" t="str">
            <v>チェーンケースＢ５０パイＳＵＳブロンズ</v>
          </cell>
          <cell r="C329">
            <v>13423</v>
          </cell>
          <cell r="D329">
            <v>20200</v>
          </cell>
          <cell r="E329">
            <v>23200</v>
          </cell>
          <cell r="F329">
            <v>26700</v>
          </cell>
        </row>
        <row r="330">
          <cell r="A330" t="str">
            <v>SLSB30102</v>
          </cell>
          <cell r="B330" t="str">
            <v>チェーンケースＳＳＵＳブロンズ</v>
          </cell>
          <cell r="C330">
            <v>8443</v>
          </cell>
          <cell r="D330">
            <v>12700</v>
          </cell>
          <cell r="E330">
            <v>14200</v>
          </cell>
          <cell r="F330">
            <v>16200</v>
          </cell>
        </row>
        <row r="331">
          <cell r="A331" t="str">
            <v>SLA30107-B</v>
          </cell>
          <cell r="B331" t="str">
            <v>障子金具スベリダシ</v>
          </cell>
          <cell r="C331">
            <v>258</v>
          </cell>
          <cell r="D331">
            <v>400</v>
          </cell>
          <cell r="E331">
            <v>500</v>
          </cell>
          <cell r="F331">
            <v>600</v>
          </cell>
        </row>
        <row r="332">
          <cell r="A332" t="str">
            <v>SLA30107-C</v>
          </cell>
          <cell r="B332" t="str">
            <v>障子金具</v>
          </cell>
          <cell r="C332">
            <v>259</v>
          </cell>
          <cell r="D332">
            <v>400</v>
          </cell>
          <cell r="E332">
            <v>500</v>
          </cell>
          <cell r="F332">
            <v>600</v>
          </cell>
        </row>
        <row r="333">
          <cell r="A333" t="str">
            <v>SLB30107-B</v>
          </cell>
          <cell r="B333" t="str">
            <v>障子金具スベリダシブロンズ</v>
          </cell>
          <cell r="C333">
            <v>258</v>
          </cell>
          <cell r="D333">
            <v>400</v>
          </cell>
          <cell r="E333">
            <v>500</v>
          </cell>
          <cell r="F333">
            <v>600</v>
          </cell>
        </row>
        <row r="334">
          <cell r="A334" t="str">
            <v>SLB30107-C</v>
          </cell>
          <cell r="B334" t="str">
            <v>障子金具ブロンズ</v>
          </cell>
          <cell r="C334">
            <v>255</v>
          </cell>
          <cell r="D334">
            <v>400</v>
          </cell>
          <cell r="E334">
            <v>500</v>
          </cell>
          <cell r="F334">
            <v>600</v>
          </cell>
        </row>
        <row r="335">
          <cell r="A335" t="str">
            <v>SLA45050-S</v>
          </cell>
          <cell r="B335" t="str">
            <v>チェーンケース４５Ｓ</v>
          </cell>
          <cell r="C335">
            <v>7508</v>
          </cell>
          <cell r="D335">
            <v>11300</v>
          </cell>
          <cell r="E335">
            <v>13000</v>
          </cell>
          <cell r="F335">
            <v>15500</v>
          </cell>
        </row>
        <row r="336">
          <cell r="A336" t="str">
            <v>SLA45050-W</v>
          </cell>
          <cell r="B336" t="str">
            <v>チェーンケース４５Ｗ</v>
          </cell>
          <cell r="C336">
            <v>9416</v>
          </cell>
          <cell r="D336">
            <v>14100</v>
          </cell>
          <cell r="E336">
            <v>15500</v>
          </cell>
          <cell r="F336">
            <v>18000</v>
          </cell>
        </row>
        <row r="337">
          <cell r="A337" t="str">
            <v>SLB45050-S</v>
          </cell>
          <cell r="B337" t="str">
            <v>チェーンケース４５Ｓブロンズ</v>
          </cell>
          <cell r="C337">
            <v>7747</v>
          </cell>
          <cell r="D337">
            <v>11700</v>
          </cell>
          <cell r="E337">
            <v>13200</v>
          </cell>
          <cell r="F337">
            <v>15200</v>
          </cell>
        </row>
        <row r="338">
          <cell r="A338" t="str">
            <v>SLB45050-W</v>
          </cell>
          <cell r="B338" t="str">
            <v>チェーンケース４５Ｗブロンズ</v>
          </cell>
          <cell r="C338">
            <v>10143</v>
          </cell>
          <cell r="D338">
            <v>15000</v>
          </cell>
          <cell r="E338">
            <v>16500</v>
          </cell>
          <cell r="F338">
            <v>18500</v>
          </cell>
        </row>
        <row r="339">
          <cell r="A339" t="str">
            <v>SLA30020-A</v>
          </cell>
          <cell r="B339" t="str">
            <v>転向ユニットＡ</v>
          </cell>
          <cell r="C339">
            <v>6373</v>
          </cell>
          <cell r="D339">
            <v>10000</v>
          </cell>
          <cell r="E339">
            <v>11000</v>
          </cell>
          <cell r="F339">
            <v>12500</v>
          </cell>
        </row>
        <row r="340">
          <cell r="A340" t="str">
            <v>SLA30020-B</v>
          </cell>
          <cell r="B340" t="str">
            <v>転向ユニットＢ</v>
          </cell>
          <cell r="C340">
            <v>2845</v>
          </cell>
          <cell r="D340">
            <v>4500</v>
          </cell>
          <cell r="E340">
            <v>5000</v>
          </cell>
          <cell r="F340">
            <v>5700</v>
          </cell>
        </row>
        <row r="341">
          <cell r="A341" t="str">
            <v>SLB30020-B</v>
          </cell>
          <cell r="B341" t="str">
            <v>転向ユニットＢブロンズ</v>
          </cell>
          <cell r="C341">
            <v>2845</v>
          </cell>
          <cell r="D341">
            <v>4500</v>
          </cell>
          <cell r="E341">
            <v>5000</v>
          </cell>
          <cell r="F341">
            <v>5700</v>
          </cell>
        </row>
        <row r="342">
          <cell r="A342" t="str">
            <v>SLB30020－DL－1000（ストロ－ク）</v>
          </cell>
          <cell r="B342" t="str">
            <v>倍力コネクター　納期：３か月</v>
          </cell>
          <cell r="C342">
            <v>19000</v>
          </cell>
          <cell r="D342">
            <v>29000</v>
          </cell>
          <cell r="E342">
            <v>31500</v>
          </cell>
          <cell r="F342">
            <v>35500</v>
          </cell>
        </row>
        <row r="343">
          <cell r="A343" t="str">
            <v>SLA30122-10M</v>
          </cell>
          <cell r="B343" t="str">
            <v>コンジット１３ １０Ｍ</v>
          </cell>
          <cell r="C343">
            <v>3600</v>
          </cell>
          <cell r="D343">
            <v>5400</v>
          </cell>
          <cell r="E343">
            <v>6000</v>
          </cell>
          <cell r="F343">
            <v>6800</v>
          </cell>
        </row>
        <row r="344">
          <cell r="A344" t="str">
            <v>SLA30122-25M</v>
          </cell>
          <cell r="B344" t="str">
            <v>コンジット１３ ２５Ｍ</v>
          </cell>
          <cell r="C344">
            <v>8773</v>
          </cell>
          <cell r="D344">
            <v>13000</v>
          </cell>
          <cell r="E344">
            <v>14500</v>
          </cell>
          <cell r="F344">
            <v>16000</v>
          </cell>
        </row>
        <row r="345">
          <cell r="A345" t="str">
            <v>SLB30122-10M</v>
          </cell>
          <cell r="B345" t="str">
            <v>コンジット１３ １０Ｍブロンズ</v>
          </cell>
          <cell r="C345">
            <v>3549</v>
          </cell>
          <cell r="D345">
            <v>5300</v>
          </cell>
          <cell r="E345">
            <v>6200</v>
          </cell>
          <cell r="F345">
            <v>7200</v>
          </cell>
        </row>
        <row r="346">
          <cell r="A346" t="str">
            <v>SLB30122-25M</v>
          </cell>
          <cell r="B346" t="str">
            <v>コンジット１３ ２５Ｍブロンズ</v>
          </cell>
          <cell r="C346">
            <v>8659</v>
          </cell>
          <cell r="D346">
            <v>13000</v>
          </cell>
          <cell r="E346">
            <v>14800</v>
          </cell>
          <cell r="F346">
            <v>17500</v>
          </cell>
        </row>
        <row r="347">
          <cell r="A347" t="str">
            <v>SLA25102-13</v>
          </cell>
          <cell r="B347" t="str">
            <v>ダブルクランプ</v>
          </cell>
          <cell r="C347">
            <v>141</v>
          </cell>
          <cell r="D347">
            <v>200</v>
          </cell>
          <cell r="E347">
            <v>250</v>
          </cell>
          <cell r="F347">
            <v>300</v>
          </cell>
        </row>
        <row r="348">
          <cell r="A348"/>
          <cell r="B348"/>
          <cell r="C348"/>
          <cell r="D348"/>
          <cell r="E348"/>
          <cell r="F348"/>
        </row>
        <row r="349">
          <cell r="A349"/>
          <cell r="B349"/>
          <cell r="C349"/>
          <cell r="D349"/>
          <cell r="E349"/>
          <cell r="F349"/>
        </row>
        <row r="350">
          <cell r="A350"/>
          <cell r="B350"/>
          <cell r="C350"/>
          <cell r="D350"/>
          <cell r="E350"/>
          <cell r="F350"/>
        </row>
        <row r="351">
          <cell r="A351" t="str">
            <v>SLA30105</v>
          </cell>
          <cell r="B351" t="str">
            <v>パイプジョイント</v>
          </cell>
          <cell r="C351">
            <v>120</v>
          </cell>
          <cell r="D351">
            <v>250</v>
          </cell>
          <cell r="E351">
            <v>250</v>
          </cell>
          <cell r="F351">
            <v>300</v>
          </cell>
        </row>
        <row r="352">
          <cell r="A352" t="str">
            <v>SLA30108</v>
          </cell>
          <cell r="B352" t="str">
            <v>クランプＡ</v>
          </cell>
          <cell r="C352">
            <v>105</v>
          </cell>
          <cell r="D352">
            <v>250</v>
          </cell>
          <cell r="E352">
            <v>250</v>
          </cell>
          <cell r="F352">
            <v>300</v>
          </cell>
        </row>
        <row r="353">
          <cell r="A353" t="str">
            <v>SLA30108-C</v>
          </cell>
          <cell r="B353" t="str">
            <v>クランプＣ</v>
          </cell>
          <cell r="C353">
            <v>162</v>
          </cell>
          <cell r="D353">
            <v>250</v>
          </cell>
          <cell r="E353">
            <v>300</v>
          </cell>
          <cell r="F353">
            <v>350</v>
          </cell>
        </row>
        <row r="354">
          <cell r="A354" t="str">
            <v>SLB30105</v>
          </cell>
          <cell r="B354" t="str">
            <v>パイプジョイントブロンズ</v>
          </cell>
          <cell r="C354">
            <v>119</v>
          </cell>
          <cell r="D354">
            <v>250</v>
          </cell>
          <cell r="E354">
            <v>250</v>
          </cell>
          <cell r="F354">
            <v>300</v>
          </cell>
        </row>
        <row r="355">
          <cell r="A355" t="str">
            <v>SLB30108</v>
          </cell>
          <cell r="B355" t="str">
            <v>クランプＡブロンズ</v>
          </cell>
          <cell r="C355">
            <v>166</v>
          </cell>
          <cell r="D355">
            <v>250</v>
          </cell>
          <cell r="E355">
            <v>300</v>
          </cell>
          <cell r="F355">
            <v>400</v>
          </cell>
        </row>
        <row r="356">
          <cell r="A356" t="str">
            <v>SLB30108-C</v>
          </cell>
          <cell r="B356" t="str">
            <v>クランプＣブロンズ</v>
          </cell>
          <cell r="C356">
            <v>189</v>
          </cell>
          <cell r="D356">
            <v>300</v>
          </cell>
          <cell r="E356">
            <v>350</v>
          </cell>
          <cell r="F356">
            <v>450</v>
          </cell>
        </row>
        <row r="357">
          <cell r="A357"/>
          <cell r="B357"/>
          <cell r="C357"/>
          <cell r="D357"/>
          <cell r="E357"/>
          <cell r="F357"/>
        </row>
        <row r="358">
          <cell r="A358" t="str">
            <v>SLB50108</v>
          </cell>
          <cell r="B358" t="str">
            <v>クランプB　ブロンズ</v>
          </cell>
          <cell r="C358">
            <v>412</v>
          </cell>
          <cell r="D358">
            <v>600</v>
          </cell>
          <cell r="E358">
            <v>700</v>
          </cell>
          <cell r="F358">
            <v>800</v>
          </cell>
        </row>
        <row r="359">
          <cell r="A359" t="str">
            <v>SLA30104-10M</v>
          </cell>
          <cell r="B359" t="str">
            <v>メインケーブル１０Ｍ</v>
          </cell>
          <cell r="C359">
            <v>3107</v>
          </cell>
          <cell r="D359">
            <v>4700</v>
          </cell>
          <cell r="E359">
            <v>5200</v>
          </cell>
          <cell r="F359">
            <v>5800</v>
          </cell>
        </row>
        <row r="360">
          <cell r="A360" t="str">
            <v>SLA30104-16M</v>
          </cell>
          <cell r="B360" t="str">
            <v>メインケーブル１６Ｍ</v>
          </cell>
          <cell r="C360">
            <v>4972</v>
          </cell>
          <cell r="D360">
            <v>7500</v>
          </cell>
          <cell r="E360">
            <v>8200</v>
          </cell>
          <cell r="F360">
            <v>9300</v>
          </cell>
        </row>
        <row r="361">
          <cell r="A361" t="str">
            <v>SLA30104-24M</v>
          </cell>
          <cell r="B361" t="str">
            <v>メインケーブル２４Ｍ</v>
          </cell>
          <cell r="C361">
            <v>7450</v>
          </cell>
          <cell r="D361">
            <v>11200</v>
          </cell>
          <cell r="E361">
            <v>12300</v>
          </cell>
          <cell r="F361">
            <v>14000</v>
          </cell>
        </row>
        <row r="362">
          <cell r="A362" t="str">
            <v>SLA30104-50M</v>
          </cell>
          <cell r="B362" t="str">
            <v>メインケーブル５０Ｍ</v>
          </cell>
          <cell r="C362">
            <v>15520</v>
          </cell>
          <cell r="D362">
            <v>23400</v>
          </cell>
          <cell r="E362">
            <v>25500</v>
          </cell>
          <cell r="F362">
            <v>29000</v>
          </cell>
        </row>
        <row r="363">
          <cell r="A363" t="str">
            <v>SLS30004-10M</v>
          </cell>
          <cell r="B363" t="str">
            <v>ＳＵＳメインケーブル１０Ｍ</v>
          </cell>
          <cell r="C363">
            <v>6796</v>
          </cell>
          <cell r="D363">
            <v>10200</v>
          </cell>
          <cell r="E363">
            <v>11200</v>
          </cell>
          <cell r="F363">
            <v>12500</v>
          </cell>
        </row>
        <row r="364">
          <cell r="A364" t="str">
            <v>SLS30004-24M</v>
          </cell>
          <cell r="B364" t="str">
            <v>ＳＵＳメインケーブル２４Ｍ</v>
          </cell>
          <cell r="C364">
            <v>16157</v>
          </cell>
          <cell r="D364">
            <v>24300</v>
          </cell>
          <cell r="E364">
            <v>26500</v>
          </cell>
          <cell r="F364">
            <v>29500</v>
          </cell>
        </row>
        <row r="365">
          <cell r="A365" t="str">
            <v>SLS30004-50M</v>
          </cell>
          <cell r="B365" t="str">
            <v>ＳＵＳメインケーブル５０Ｍ</v>
          </cell>
          <cell r="C365">
            <v>33543</v>
          </cell>
          <cell r="D365">
            <v>51000</v>
          </cell>
          <cell r="E365">
            <v>56000</v>
          </cell>
          <cell r="F365">
            <v>63000</v>
          </cell>
        </row>
        <row r="366">
          <cell r="A366" t="str">
            <v>SLA30003-1</v>
          </cell>
          <cell r="B366" t="str">
            <v>メインパイプ</v>
          </cell>
          <cell r="C366">
            <v>508</v>
          </cell>
          <cell r="D366">
            <v>760</v>
          </cell>
          <cell r="E366">
            <v>1000</v>
          </cell>
          <cell r="F366">
            <v>1200</v>
          </cell>
        </row>
        <row r="367">
          <cell r="A367" t="str">
            <v>SLA30003-2</v>
          </cell>
          <cell r="B367" t="str">
            <v>終端パイプ</v>
          </cell>
          <cell r="C367">
            <v>281</v>
          </cell>
          <cell r="D367">
            <v>400</v>
          </cell>
          <cell r="E367">
            <v>500</v>
          </cell>
          <cell r="F367">
            <v>600</v>
          </cell>
        </row>
        <row r="368">
          <cell r="A368" t="str">
            <v>SLA30040</v>
          </cell>
          <cell r="B368" t="str">
            <v>曲げパイプ</v>
          </cell>
          <cell r="C368">
            <v>367</v>
          </cell>
          <cell r="D368">
            <v>550</v>
          </cell>
          <cell r="E368">
            <v>600</v>
          </cell>
          <cell r="F368">
            <v>700</v>
          </cell>
        </row>
        <row r="369">
          <cell r="A369" t="str">
            <v>SLA50003-2</v>
          </cell>
          <cell r="B369" t="str">
            <v>終端パイプ</v>
          </cell>
          <cell r="C369">
            <v>340</v>
          </cell>
          <cell r="D369">
            <v>550</v>
          </cell>
          <cell r="E369">
            <v>600</v>
          </cell>
          <cell r="F369">
            <v>650</v>
          </cell>
        </row>
        <row r="370">
          <cell r="A370" t="str">
            <v>SLA55105</v>
          </cell>
          <cell r="B370" t="str">
            <v>曲げパイプ</v>
          </cell>
          <cell r="C370">
            <v>394</v>
          </cell>
          <cell r="D370">
            <v>1000</v>
          </cell>
          <cell r="E370">
            <v>1000</v>
          </cell>
          <cell r="F370">
            <v>1000</v>
          </cell>
        </row>
        <row r="371">
          <cell r="A371" t="str">
            <v>SLB30003-1</v>
          </cell>
          <cell r="B371" t="str">
            <v>メインパイプブロンズ</v>
          </cell>
          <cell r="C371">
            <v>580</v>
          </cell>
          <cell r="D371">
            <v>900</v>
          </cell>
          <cell r="E371">
            <v>1150</v>
          </cell>
          <cell r="F371">
            <v>1350</v>
          </cell>
        </row>
        <row r="372">
          <cell r="A372" t="str">
            <v>SLB30003-2</v>
          </cell>
          <cell r="B372" t="str">
            <v>終端パイプブロンズ</v>
          </cell>
          <cell r="C372">
            <v>352</v>
          </cell>
          <cell r="D372">
            <v>500</v>
          </cell>
          <cell r="E372">
            <v>550</v>
          </cell>
          <cell r="F372">
            <v>650</v>
          </cell>
        </row>
        <row r="373">
          <cell r="A373" t="str">
            <v>SLB30040</v>
          </cell>
          <cell r="B373" t="str">
            <v>曲げパイプブロンズ</v>
          </cell>
          <cell r="C373">
            <v>433</v>
          </cell>
          <cell r="D373">
            <v>1000</v>
          </cell>
          <cell r="E373">
            <v>1000</v>
          </cell>
          <cell r="F373">
            <v>1000</v>
          </cell>
        </row>
        <row r="374">
          <cell r="A374" t="str">
            <v>SLB50003-2</v>
          </cell>
          <cell r="B374" t="str">
            <v>終端パイプブロンズ</v>
          </cell>
          <cell r="C374">
            <v>376</v>
          </cell>
          <cell r="D374">
            <v>600</v>
          </cell>
          <cell r="E374">
            <v>700</v>
          </cell>
          <cell r="F374">
            <v>800</v>
          </cell>
        </row>
        <row r="375">
          <cell r="A375" t="str">
            <v>SLB55105</v>
          </cell>
          <cell r="B375" t="str">
            <v>曲げパイプブロンズ</v>
          </cell>
          <cell r="C375">
            <v>394</v>
          </cell>
          <cell r="D375">
            <v>1000</v>
          </cell>
          <cell r="E375">
            <v>1000</v>
          </cell>
          <cell r="F375">
            <v>1000</v>
          </cell>
        </row>
        <row r="376">
          <cell r="A376" t="str">
            <v>SLA30009</v>
          </cell>
          <cell r="B376" t="str">
            <v>溝加工治具</v>
          </cell>
          <cell r="C376">
            <v>866</v>
          </cell>
          <cell r="D376">
            <v>1500</v>
          </cell>
          <cell r="E376">
            <v>1600</v>
          </cell>
          <cell r="F376">
            <v>2100</v>
          </cell>
        </row>
        <row r="377">
          <cell r="A377" t="str">
            <v>SLA30015</v>
          </cell>
          <cell r="B377" t="str">
            <v>治具セツト</v>
          </cell>
          <cell r="C377">
            <v>3488</v>
          </cell>
          <cell r="D377">
            <v>5500</v>
          </cell>
          <cell r="E377">
            <v>6000</v>
          </cell>
          <cell r="F377">
            <v>7000</v>
          </cell>
        </row>
        <row r="378">
          <cell r="A378" t="str">
            <v>SLA55208</v>
          </cell>
          <cell r="B378" t="str">
            <v>治具セツト</v>
          </cell>
          <cell r="C378">
            <v>2654</v>
          </cell>
          <cell r="D378">
            <v>4000</v>
          </cell>
          <cell r="E378">
            <v>5000</v>
          </cell>
          <cell r="F378">
            <v>5500</v>
          </cell>
        </row>
        <row r="379">
          <cell r="A379" t="str">
            <v>SLB30070</v>
          </cell>
          <cell r="B379" t="str">
            <v>カラースプレー</v>
          </cell>
          <cell r="C379">
            <v>1430</v>
          </cell>
          <cell r="D379">
            <v>2500</v>
          </cell>
          <cell r="E379">
            <v>2500</v>
          </cell>
          <cell r="F379">
            <v>3000</v>
          </cell>
        </row>
        <row r="380">
          <cell r="A380" t="str">
            <v>SLB30071</v>
          </cell>
          <cell r="B380" t="str">
            <v>タッチアップペイント</v>
          </cell>
          <cell r="C380">
            <v>767</v>
          </cell>
          <cell r="D380">
            <v>1500</v>
          </cell>
          <cell r="E380">
            <v>1500</v>
          </cell>
          <cell r="F380">
            <v>2000</v>
          </cell>
        </row>
        <row r="381">
          <cell r="A381" t="str">
            <v>SL50H03</v>
          </cell>
          <cell r="B381" t="str">
            <v>転向滑車</v>
          </cell>
          <cell r="C381">
            <v>1840</v>
          </cell>
          <cell r="D381">
            <v>3000</v>
          </cell>
          <cell r="E381">
            <v>3300</v>
          </cell>
          <cell r="F381">
            <v>3500</v>
          </cell>
        </row>
        <row r="382">
          <cell r="A382" t="str">
            <v>SL50H05-2</v>
          </cell>
          <cell r="B382" t="str">
            <v>振れ止め金具用ボタン</v>
          </cell>
          <cell r="C382">
            <v>53</v>
          </cell>
          <cell r="D382">
            <v>100</v>
          </cell>
          <cell r="E382">
            <v>150</v>
          </cell>
          <cell r="F382">
            <v>200</v>
          </cell>
        </row>
        <row r="383">
          <cell r="A383" t="str">
            <v>SL51H04</v>
          </cell>
          <cell r="B383" t="str">
            <v>障子金具新型</v>
          </cell>
          <cell r="C383">
            <v>1089</v>
          </cell>
          <cell r="D383">
            <v>1550</v>
          </cell>
          <cell r="E383">
            <v>1850</v>
          </cell>
          <cell r="F383">
            <v>2050</v>
          </cell>
        </row>
        <row r="384">
          <cell r="A384" t="str">
            <v>SL51H04-A1</v>
          </cell>
          <cell r="B384" t="str">
            <v>障子金具プレートＡ１</v>
          </cell>
          <cell r="C384">
            <v>309</v>
          </cell>
          <cell r="D384">
            <v>500</v>
          </cell>
          <cell r="E384">
            <v>500</v>
          </cell>
          <cell r="F384">
            <v>600</v>
          </cell>
        </row>
        <row r="385">
          <cell r="A385" t="str">
            <v>SL51H04-A2</v>
          </cell>
          <cell r="B385" t="str">
            <v>障子金具プレートＡ２</v>
          </cell>
          <cell r="C385">
            <v>308</v>
          </cell>
          <cell r="D385">
            <v>500</v>
          </cell>
          <cell r="E385">
            <v>500</v>
          </cell>
          <cell r="F385">
            <v>600</v>
          </cell>
        </row>
        <row r="386">
          <cell r="A386" t="str">
            <v>SL51H05</v>
          </cell>
          <cell r="B386" t="str">
            <v>ロープ振れ止め金具新型</v>
          </cell>
          <cell r="C386">
            <v>367</v>
          </cell>
          <cell r="D386">
            <v>550</v>
          </cell>
          <cell r="E386">
            <v>550</v>
          </cell>
          <cell r="F386">
            <v>600</v>
          </cell>
        </row>
        <row r="387">
          <cell r="A387" t="str">
            <v>SL51H06</v>
          </cell>
          <cell r="B387" t="str">
            <v>シンプル３ｍｍワイヤ－用</v>
          </cell>
          <cell r="C387">
            <v>130</v>
          </cell>
          <cell r="D387">
            <v>250</v>
          </cell>
          <cell r="E387">
            <v>250</v>
          </cell>
          <cell r="F387">
            <v>300</v>
          </cell>
        </row>
        <row r="388">
          <cell r="A388" t="str">
            <v>SL51H07</v>
          </cell>
          <cell r="B388" t="str">
            <v>ワイヤークリップ３ｍｍワイヤ－用</v>
          </cell>
          <cell r="C388">
            <v>234</v>
          </cell>
          <cell r="D388">
            <v>400</v>
          </cell>
          <cell r="E388">
            <v>400</v>
          </cell>
          <cell r="F388">
            <v>500</v>
          </cell>
        </row>
        <row r="389">
          <cell r="A389" t="str">
            <v>SL51H09</v>
          </cell>
          <cell r="B389" t="str">
            <v>テンショウステイ角</v>
          </cell>
          <cell r="C389">
            <v>2353</v>
          </cell>
          <cell r="D389">
            <v>3600</v>
          </cell>
          <cell r="E389">
            <v>4100</v>
          </cell>
          <cell r="F389">
            <v>4600</v>
          </cell>
        </row>
        <row r="390">
          <cell r="A390" t="str">
            <v>SL51H14-A</v>
          </cell>
          <cell r="B390" t="str">
            <v>転向滑車Ａ－５０</v>
          </cell>
          <cell r="C390">
            <v>1029</v>
          </cell>
          <cell r="D390">
            <v>1550</v>
          </cell>
          <cell r="E390">
            <v>1850</v>
          </cell>
          <cell r="F390">
            <v>2050</v>
          </cell>
        </row>
        <row r="391">
          <cell r="A391" t="str">
            <v>SL51H14-B</v>
          </cell>
          <cell r="B391" t="str">
            <v>転向滑車Ｂ－５０</v>
          </cell>
          <cell r="C391">
            <v>1307</v>
          </cell>
          <cell r="D391">
            <v>2050</v>
          </cell>
          <cell r="E391">
            <v>2250</v>
          </cell>
          <cell r="F391">
            <v>2550</v>
          </cell>
        </row>
        <row r="392">
          <cell r="A392" t="str">
            <v>SL52H01</v>
          </cell>
          <cell r="B392" t="str">
            <v>ハンドルボックス</v>
          </cell>
          <cell r="C392">
            <v>9591</v>
          </cell>
          <cell r="D392">
            <v>15500</v>
          </cell>
          <cell r="E392">
            <v>17500</v>
          </cell>
          <cell r="F392">
            <v>21000</v>
          </cell>
        </row>
        <row r="393">
          <cell r="A393" t="str">
            <v>SLA50002</v>
          </cell>
          <cell r="B393" t="str">
            <v>コネクタ－セット</v>
          </cell>
          <cell r="C393">
            <v>2457</v>
          </cell>
          <cell r="D393">
            <v>5000</v>
          </cell>
          <cell r="E393">
            <v>5500</v>
          </cell>
          <cell r="F393">
            <v>6000</v>
          </cell>
        </row>
        <row r="394">
          <cell r="A394" t="str">
            <v>SLB50002</v>
          </cell>
          <cell r="B394" t="str">
            <v>コネクタ－セットブロンズ</v>
          </cell>
          <cell r="C394">
            <v>2731</v>
          </cell>
          <cell r="D394">
            <v>5000</v>
          </cell>
          <cell r="E394">
            <v>5500</v>
          </cell>
          <cell r="F394">
            <v>6000</v>
          </cell>
        </row>
        <row r="395">
          <cell r="A395" t="str">
            <v>SL50002-003</v>
          </cell>
          <cell r="B395" t="str">
            <v>ナットスペシャル</v>
          </cell>
          <cell r="C395">
            <v>138</v>
          </cell>
          <cell r="D395">
            <v>250</v>
          </cell>
          <cell r="E395">
            <v>250</v>
          </cell>
          <cell r="F395">
            <v>300</v>
          </cell>
        </row>
        <row r="396">
          <cell r="A396" t="str">
            <v>SLA50301-A</v>
          </cell>
          <cell r="B396" t="str">
            <v>コネクターセットＡL=1000</v>
          </cell>
          <cell r="C396">
            <v>1949</v>
          </cell>
          <cell r="D396">
            <v>3700</v>
          </cell>
          <cell r="E396">
            <v>4500</v>
          </cell>
          <cell r="F396">
            <v>5000</v>
          </cell>
        </row>
        <row r="397">
          <cell r="A397" t="str">
            <v>SLA50301-B</v>
          </cell>
          <cell r="B397" t="str">
            <v>コネクターセットＢＬ＝１３００</v>
          </cell>
          <cell r="C397">
            <v>2820</v>
          </cell>
          <cell r="D397">
            <v>4500</v>
          </cell>
          <cell r="E397">
            <v>5000</v>
          </cell>
          <cell r="F397">
            <v>5500</v>
          </cell>
        </row>
        <row r="398">
          <cell r="A398" t="str">
            <v>SLB50301-A</v>
          </cell>
          <cell r="B398" t="str">
            <v>コネクターセットＡブロンズL1000</v>
          </cell>
          <cell r="C398">
            <v>1911</v>
          </cell>
          <cell r="D398">
            <v>3700</v>
          </cell>
          <cell r="E398">
            <v>4500</v>
          </cell>
          <cell r="F398">
            <v>5000</v>
          </cell>
        </row>
        <row r="399">
          <cell r="A399" t="str">
            <v>SLB50301-B</v>
          </cell>
          <cell r="B399" t="str">
            <v>コネクターセットＢＬ＝１３００ブロンズ</v>
          </cell>
          <cell r="C399">
            <v>2798</v>
          </cell>
          <cell r="D399">
            <v>4500</v>
          </cell>
          <cell r="E399">
            <v>5000</v>
          </cell>
          <cell r="F399">
            <v>5500</v>
          </cell>
        </row>
        <row r="400">
          <cell r="A400" t="str">
            <v>SLA55104-A</v>
          </cell>
          <cell r="B400" t="str">
            <v>レールユニット取付ブラケツトＡ</v>
          </cell>
          <cell r="C400">
            <v>92</v>
          </cell>
          <cell r="D400">
            <v>150</v>
          </cell>
          <cell r="E400">
            <v>200</v>
          </cell>
          <cell r="F400">
            <v>250</v>
          </cell>
        </row>
        <row r="401">
          <cell r="A401" t="str">
            <v>SLA55104-B</v>
          </cell>
          <cell r="B401" t="str">
            <v>レールユニット取付ブラケツトＢ</v>
          </cell>
          <cell r="C401">
            <v>94</v>
          </cell>
          <cell r="D401">
            <v>150</v>
          </cell>
          <cell r="E401">
            <v>200</v>
          </cell>
          <cell r="F401">
            <v>250</v>
          </cell>
        </row>
        <row r="402">
          <cell r="A402" t="str">
            <v>SLA55106</v>
          </cell>
          <cell r="B402" t="str">
            <v>終端ネジ</v>
          </cell>
          <cell r="C402">
            <v>165</v>
          </cell>
          <cell r="D402">
            <v>400</v>
          </cell>
          <cell r="E402">
            <v>500</v>
          </cell>
          <cell r="F402">
            <v>600</v>
          </cell>
        </row>
        <row r="403">
          <cell r="A403" t="str">
            <v>SLA55107</v>
          </cell>
          <cell r="B403" t="str">
            <v>特管鉄</v>
          </cell>
          <cell r="C403">
            <v>133</v>
          </cell>
          <cell r="D403">
            <v>200</v>
          </cell>
          <cell r="E403">
            <v>250</v>
          </cell>
          <cell r="F403">
            <v>300</v>
          </cell>
        </row>
        <row r="404">
          <cell r="A404" t="str">
            <v>SLA55109</v>
          </cell>
          <cell r="B404" t="str">
            <v>スペーサー</v>
          </cell>
          <cell r="C404">
            <v>84</v>
          </cell>
          <cell r="D404">
            <v>150</v>
          </cell>
          <cell r="E404">
            <v>200</v>
          </cell>
          <cell r="F404">
            <v>250</v>
          </cell>
        </row>
        <row r="405">
          <cell r="A405" t="str">
            <v>SLA55201</v>
          </cell>
          <cell r="B405" t="str">
            <v>レールユニット</v>
          </cell>
          <cell r="C405">
            <v>2507</v>
          </cell>
          <cell r="D405">
            <v>3800</v>
          </cell>
          <cell r="E405">
            <v>4200</v>
          </cell>
          <cell r="F405">
            <v>4800</v>
          </cell>
        </row>
        <row r="406">
          <cell r="A406" t="str">
            <v>SLA55202</v>
          </cell>
          <cell r="B406" t="str">
            <v>ランナー</v>
          </cell>
          <cell r="C406">
            <v>295</v>
          </cell>
          <cell r="D406">
            <v>400</v>
          </cell>
          <cell r="E406">
            <v>500</v>
          </cell>
          <cell r="F406">
            <v>600</v>
          </cell>
        </row>
        <row r="407">
          <cell r="A407" t="str">
            <v>SLB55104-A</v>
          </cell>
          <cell r="B407" t="str">
            <v>レールユニット取付ブラケツトＡブロンズ</v>
          </cell>
          <cell r="C407">
            <v>92</v>
          </cell>
          <cell r="D407">
            <v>150</v>
          </cell>
          <cell r="E407">
            <v>200</v>
          </cell>
          <cell r="F407">
            <v>250</v>
          </cell>
        </row>
        <row r="408">
          <cell r="A408" t="str">
            <v>SLB55104-B</v>
          </cell>
          <cell r="B408" t="str">
            <v>レールユニット取付ブラケツトＢブロンズ</v>
          </cell>
          <cell r="C408">
            <v>92</v>
          </cell>
          <cell r="D408">
            <v>150</v>
          </cell>
          <cell r="E408">
            <v>200</v>
          </cell>
          <cell r="F408">
            <v>250</v>
          </cell>
        </row>
        <row r="409">
          <cell r="A409" t="str">
            <v>SLB55106</v>
          </cell>
          <cell r="B409" t="str">
            <v>終端ネジブロンズ</v>
          </cell>
          <cell r="C409">
            <v>284</v>
          </cell>
          <cell r="D409">
            <v>450</v>
          </cell>
          <cell r="E409">
            <v>500</v>
          </cell>
          <cell r="F409">
            <v>1000</v>
          </cell>
        </row>
        <row r="410">
          <cell r="A410" t="str">
            <v>SLB55107</v>
          </cell>
          <cell r="B410" t="str">
            <v>特管鉄ブロンズ</v>
          </cell>
          <cell r="C410">
            <v>133</v>
          </cell>
          <cell r="D410">
            <v>250</v>
          </cell>
          <cell r="E410">
            <v>300</v>
          </cell>
          <cell r="F410">
            <v>350</v>
          </cell>
        </row>
        <row r="411">
          <cell r="A411" t="str">
            <v>SLB55109</v>
          </cell>
          <cell r="B411" t="str">
            <v>スペーサーブロンズ</v>
          </cell>
          <cell r="C411">
            <v>82</v>
          </cell>
          <cell r="D411">
            <v>150</v>
          </cell>
          <cell r="E411">
            <v>200</v>
          </cell>
          <cell r="F411">
            <v>250</v>
          </cell>
        </row>
        <row r="412">
          <cell r="A412" t="str">
            <v>SLB55201</v>
          </cell>
          <cell r="B412" t="str">
            <v>レールユニットブロンズ</v>
          </cell>
          <cell r="C412">
            <v>2507</v>
          </cell>
          <cell r="D412">
            <v>3800</v>
          </cell>
          <cell r="E412">
            <v>4200</v>
          </cell>
          <cell r="F412">
            <v>4800</v>
          </cell>
        </row>
        <row r="413">
          <cell r="A413" t="str">
            <v>SLB55202</v>
          </cell>
          <cell r="B413" t="str">
            <v>ランナーブロンズ</v>
          </cell>
          <cell r="C413">
            <v>289</v>
          </cell>
          <cell r="D413">
            <v>400</v>
          </cell>
          <cell r="E413">
            <v>500</v>
          </cell>
          <cell r="F413">
            <v>600</v>
          </cell>
        </row>
        <row r="414">
          <cell r="A414" t="str">
            <v>SLB55203-A</v>
          </cell>
          <cell r="B414" t="str">
            <v>障子金具Ａブロンズ</v>
          </cell>
          <cell r="C414">
            <v>239</v>
          </cell>
          <cell r="D414">
            <v>300</v>
          </cell>
          <cell r="E414">
            <v>350</v>
          </cell>
          <cell r="F414">
            <v>400</v>
          </cell>
        </row>
        <row r="415">
          <cell r="A415" t="str">
            <v>SLB55203-B</v>
          </cell>
          <cell r="B415" t="str">
            <v>障子金具Ｂブロンズ</v>
          </cell>
          <cell r="C415">
            <v>302</v>
          </cell>
          <cell r="D415">
            <v>350</v>
          </cell>
          <cell r="E415">
            <v>400</v>
          </cell>
          <cell r="F415">
            <v>450</v>
          </cell>
        </row>
        <row r="416">
          <cell r="A416" t="str">
            <v>SLB55203-E</v>
          </cell>
          <cell r="B416" t="str">
            <v>障子金具Ｅブロンズ</v>
          </cell>
          <cell r="C416">
            <v>308</v>
          </cell>
          <cell r="D416">
            <v>350</v>
          </cell>
          <cell r="E416">
            <v>400</v>
          </cell>
          <cell r="F416">
            <v>450</v>
          </cell>
        </row>
        <row r="417">
          <cell r="A417" t="str">
            <v>SLS55203-A</v>
          </cell>
          <cell r="B417" t="str">
            <v>障子金具Ａ</v>
          </cell>
          <cell r="C417">
            <v>195</v>
          </cell>
          <cell r="D417">
            <v>300</v>
          </cell>
          <cell r="E417">
            <v>350</v>
          </cell>
          <cell r="F417">
            <v>400</v>
          </cell>
        </row>
        <row r="418">
          <cell r="A418" t="str">
            <v>SLS55203-B</v>
          </cell>
          <cell r="B418" t="str">
            <v>障子金具Ｂ</v>
          </cell>
          <cell r="C418">
            <v>259</v>
          </cell>
          <cell r="D418">
            <v>350</v>
          </cell>
          <cell r="E418">
            <v>400</v>
          </cell>
          <cell r="F418">
            <v>450</v>
          </cell>
        </row>
        <row r="419">
          <cell r="A419" t="str">
            <v>SLS55203-E</v>
          </cell>
          <cell r="B419" t="str">
            <v>障子金具Ｅ</v>
          </cell>
          <cell r="C419">
            <v>216</v>
          </cell>
          <cell r="D419">
            <v>350</v>
          </cell>
          <cell r="E419">
            <v>400</v>
          </cell>
          <cell r="F419">
            <v>450</v>
          </cell>
        </row>
        <row r="420">
          <cell r="A420" t="str">
            <v>SLA60002</v>
          </cell>
          <cell r="B420" t="str">
            <v>スクリユ－ジャッキユニット</v>
          </cell>
          <cell r="C420">
            <v>9128</v>
          </cell>
          <cell r="D420">
            <v>14000</v>
          </cell>
          <cell r="E420">
            <v>15500</v>
          </cell>
          <cell r="F420">
            <v>17500</v>
          </cell>
        </row>
        <row r="421">
          <cell r="A421" t="str">
            <v>SLA60002-V</v>
          </cell>
          <cell r="B421" t="str">
            <v>Ｖ型ジャッキユニット</v>
          </cell>
          <cell r="C421">
            <v>9658</v>
          </cell>
          <cell r="D421">
            <v>15700</v>
          </cell>
          <cell r="E421">
            <v>19200</v>
          </cell>
          <cell r="F421">
            <v>22200</v>
          </cell>
        </row>
        <row r="422">
          <cell r="A422" t="str">
            <v>SLB60002</v>
          </cell>
          <cell r="B422" t="str">
            <v>スクリユ－ジャッキユニットブロンズ</v>
          </cell>
          <cell r="C422">
            <v>9181</v>
          </cell>
          <cell r="D422">
            <v>14500</v>
          </cell>
          <cell r="E422">
            <v>16000</v>
          </cell>
          <cell r="F422">
            <v>18000</v>
          </cell>
        </row>
        <row r="423">
          <cell r="A423" t="str">
            <v>SLB60002-V</v>
          </cell>
          <cell r="B423" t="str">
            <v>Ｖ型ジャッキユニットブロンズ</v>
          </cell>
          <cell r="C423">
            <v>9658</v>
          </cell>
          <cell r="D423">
            <v>15700</v>
          </cell>
          <cell r="E423">
            <v>19200</v>
          </cell>
          <cell r="F423">
            <v>22200</v>
          </cell>
        </row>
        <row r="424">
          <cell r="A424" t="str">
            <v>SLE80310-B</v>
          </cell>
          <cell r="B424" t="str">
            <v>電動操作ボックス耐熱ＢＣＪ２０２改</v>
          </cell>
          <cell r="C424">
            <v>128112</v>
          </cell>
          <cell r="D424">
            <v>192000</v>
          </cell>
          <cell r="E424">
            <v>211000</v>
          </cell>
          <cell r="F424">
            <v>243000</v>
          </cell>
        </row>
        <row r="425">
          <cell r="A425" t="str">
            <v>SLE81110-B-RN-1</v>
          </cell>
          <cell r="B425" t="str">
            <v>電動駆動装置耐熱24V仕様　ロット1～5台</v>
          </cell>
          <cell r="C425">
            <v>96074</v>
          </cell>
          <cell r="D425">
            <v>144000</v>
          </cell>
          <cell r="E425">
            <v>160000</v>
          </cell>
          <cell r="F425">
            <v>185000</v>
          </cell>
        </row>
        <row r="426">
          <cell r="A426" t="str">
            <v>SLE81210-B</v>
          </cell>
          <cell r="B426" t="str">
            <v>１２ＶＢＣＪ４７３駆動装置耐熱</v>
          </cell>
          <cell r="C426">
            <v>100092</v>
          </cell>
          <cell r="D426">
            <v>150000</v>
          </cell>
          <cell r="E426">
            <v>165000</v>
          </cell>
          <cell r="F426">
            <v>190000</v>
          </cell>
        </row>
        <row r="427">
          <cell r="A427" t="str">
            <v>SLE81035-A</v>
          </cell>
          <cell r="B427" t="str">
            <v>手元操作スイッチ</v>
          </cell>
          <cell r="C427">
            <v>8779</v>
          </cell>
          <cell r="D427">
            <v>13500</v>
          </cell>
          <cell r="E427">
            <v>17000</v>
          </cell>
          <cell r="F427">
            <v>22000</v>
          </cell>
        </row>
        <row r="428">
          <cell r="A428" t="str">
            <v>SLE81280-A</v>
          </cell>
          <cell r="B428" t="str">
            <v>スイッチボックスＡ１２Ｖ用</v>
          </cell>
          <cell r="C428">
            <v>11194</v>
          </cell>
          <cell r="D428">
            <v>17000</v>
          </cell>
          <cell r="E428">
            <v>21000</v>
          </cell>
          <cell r="F428">
            <v>24000</v>
          </cell>
        </row>
        <row r="429">
          <cell r="A429" t="str">
            <v>SLE81280-B</v>
          </cell>
          <cell r="B429" t="str">
            <v>スイッチボックＢ１２Ｖ用</v>
          </cell>
          <cell r="C429">
            <v>12148</v>
          </cell>
          <cell r="D429">
            <v>18000</v>
          </cell>
          <cell r="E429">
            <v>21000</v>
          </cell>
          <cell r="F429">
            <v>24000</v>
          </cell>
        </row>
        <row r="430">
          <cell r="A430" t="str">
            <v>SLE81290-B</v>
          </cell>
          <cell r="B430" t="str">
            <v>予備電源内蔵スイッチボックスB</v>
          </cell>
          <cell r="C430">
            <v>24632</v>
          </cell>
          <cell r="D430">
            <v>37000</v>
          </cell>
          <cell r="E430">
            <v>42500</v>
          </cell>
          <cell r="F430">
            <v>49000</v>
          </cell>
        </row>
        <row r="431">
          <cell r="A431" t="str">
            <v>SLE25181-A</v>
          </cell>
          <cell r="B431" t="str">
            <v>スイッチボックス横型ＢＣＪ１９５用</v>
          </cell>
          <cell r="C431">
            <v>6634</v>
          </cell>
          <cell r="D431">
            <v>10500</v>
          </cell>
          <cell r="E431">
            <v>12000</v>
          </cell>
          <cell r="F431">
            <v>13000</v>
          </cell>
        </row>
        <row r="432">
          <cell r="A432" t="str">
            <v>SLE25310-BH</v>
          </cell>
          <cell r="B432" t="str">
            <v>電動駆動装置 排煙優先仕様</v>
          </cell>
          <cell r="C432">
            <v>78462</v>
          </cell>
          <cell r="D432">
            <v>118000</v>
          </cell>
          <cell r="E432">
            <v>135000</v>
          </cell>
          <cell r="F432">
            <v>155000</v>
          </cell>
        </row>
        <row r="433">
          <cell r="A433" t="str">
            <v>SLE25310-BL</v>
          </cell>
          <cell r="B433" t="str">
            <v>電動駆動装置 運用優先仕様</v>
          </cell>
          <cell r="C433">
            <v>78462</v>
          </cell>
          <cell r="D433">
            <v>118000</v>
          </cell>
          <cell r="E433">
            <v>135000</v>
          </cell>
          <cell r="F433">
            <v>155000</v>
          </cell>
        </row>
        <row r="434">
          <cell r="A434" t="str">
            <v>SLE25380-AH</v>
          </cell>
          <cell r="B434" t="str">
            <v>スイッチボックス4個ボタン 排煙優先仕様</v>
          </cell>
          <cell r="C434">
            <v>10886</v>
          </cell>
          <cell r="D434">
            <v>17000</v>
          </cell>
          <cell r="E434">
            <v>18500</v>
          </cell>
          <cell r="F434">
            <v>20500</v>
          </cell>
        </row>
        <row r="435">
          <cell r="A435" t="str">
            <v>SLE25380-AL</v>
          </cell>
          <cell r="B435" t="str">
            <v>スイッチボックス4個ボタン 運用優先仕様</v>
          </cell>
          <cell r="C435">
            <v>10886</v>
          </cell>
          <cell r="D435">
            <v>17000</v>
          </cell>
          <cell r="E435">
            <v>18500</v>
          </cell>
          <cell r="F435">
            <v>20500</v>
          </cell>
        </row>
        <row r="436">
          <cell r="A436" t="str">
            <v>SLE25080-B</v>
          </cell>
          <cell r="B436" t="str">
            <v>遠隔２次スイッチボックス</v>
          </cell>
          <cell r="C436">
            <v>31810</v>
          </cell>
          <cell r="D436">
            <v>48000</v>
          </cell>
          <cell r="E436">
            <v>53000</v>
          </cell>
          <cell r="F436">
            <v>60000</v>
          </cell>
        </row>
        <row r="437">
          <cell r="A437" t="str">
            <v>SLE25081-A</v>
          </cell>
          <cell r="B437" t="str">
            <v>スイッチボックス</v>
          </cell>
          <cell r="C437">
            <v>27639</v>
          </cell>
          <cell r="D437">
            <v>41500</v>
          </cell>
          <cell r="E437">
            <v>46000</v>
          </cell>
          <cell r="F437">
            <v>53000</v>
          </cell>
        </row>
        <row r="438">
          <cell r="A438" t="str">
            <v>SLE25180-A</v>
          </cell>
          <cell r="B438" t="str">
            <v>遠隔スイッチボックス横型ＢＣＪ１９５用</v>
          </cell>
          <cell r="C438">
            <v>13124</v>
          </cell>
          <cell r="D438">
            <v>20000</v>
          </cell>
          <cell r="E438">
            <v>22000</v>
          </cell>
          <cell r="F438">
            <v>25000</v>
          </cell>
        </row>
        <row r="439">
          <cell r="A439" t="str">
            <v>SLE25281-A</v>
          </cell>
          <cell r="B439" t="str">
            <v>スイッチボックス横型ＢＣＪ１９５用</v>
          </cell>
          <cell r="C439">
            <v>8038</v>
          </cell>
          <cell r="D439">
            <v>13500</v>
          </cell>
          <cell r="E439">
            <v>14000</v>
          </cell>
          <cell r="F439">
            <v>16000</v>
          </cell>
        </row>
        <row r="440">
          <cell r="A440" t="str">
            <v>SLE25030-A</v>
          </cell>
          <cell r="B440" t="str">
            <v>ＳＬＥハンドル</v>
          </cell>
          <cell r="C440">
            <v>1418</v>
          </cell>
          <cell r="D440">
            <v>2500</v>
          </cell>
          <cell r="E440">
            <v>3000</v>
          </cell>
          <cell r="F440">
            <v>3500</v>
          </cell>
        </row>
        <row r="441">
          <cell r="A441" t="str">
            <v>SLE25290-A</v>
          </cell>
          <cell r="B441" t="str">
            <v>予備電源DC100V用</v>
          </cell>
          <cell r="C441">
            <v>131485</v>
          </cell>
          <cell r="D441">
            <v>198000</v>
          </cell>
          <cell r="E441">
            <v>228000</v>
          </cell>
          <cell r="F441">
            <v>258000</v>
          </cell>
        </row>
        <row r="442">
          <cell r="A442" t="str">
            <v>SLE35190-B</v>
          </cell>
          <cell r="B442" t="str">
            <v>電源ボックスＢ</v>
          </cell>
          <cell r="C442">
            <v>76102</v>
          </cell>
          <cell r="D442">
            <v>115000</v>
          </cell>
          <cell r="E442">
            <v>126000</v>
          </cell>
          <cell r="F442">
            <v>145000</v>
          </cell>
        </row>
        <row r="443">
          <cell r="A443" t="str">
            <v>SLA80010-A</v>
          </cell>
          <cell r="B443" t="str">
            <v>ケ－ブルブラケツト</v>
          </cell>
          <cell r="C443">
            <v>155</v>
          </cell>
          <cell r="D443">
            <v>250</v>
          </cell>
          <cell r="E443">
            <v>300</v>
          </cell>
          <cell r="F443">
            <v>350</v>
          </cell>
        </row>
        <row r="444">
          <cell r="A444" t="str">
            <v>SLA80306-A</v>
          </cell>
          <cell r="B444" t="str">
            <v>障子側ブラケツトＡ</v>
          </cell>
          <cell r="C444">
            <v>258</v>
          </cell>
          <cell r="D444">
            <v>400</v>
          </cell>
          <cell r="E444">
            <v>450</v>
          </cell>
          <cell r="F444">
            <v>500</v>
          </cell>
        </row>
        <row r="445">
          <cell r="A445" t="str">
            <v>SLA80307-A</v>
          </cell>
          <cell r="B445" t="str">
            <v>枠側ブラケツトＡ</v>
          </cell>
          <cell r="C445">
            <v>260</v>
          </cell>
          <cell r="D445">
            <v>400</v>
          </cell>
          <cell r="E445">
            <v>450</v>
          </cell>
          <cell r="F445">
            <v>500</v>
          </cell>
        </row>
        <row r="446">
          <cell r="A446" t="str">
            <v>SLA80307-B</v>
          </cell>
          <cell r="B446" t="str">
            <v>枠側ブラケツトＢ</v>
          </cell>
          <cell r="C446">
            <v>232</v>
          </cell>
          <cell r="D446">
            <v>350</v>
          </cell>
          <cell r="E446">
            <v>400</v>
          </cell>
          <cell r="F446">
            <v>450</v>
          </cell>
        </row>
        <row r="447">
          <cell r="A447" t="str">
            <v>SLA80606-H</v>
          </cell>
          <cell r="B447" t="str">
            <v>ブラケットＨ</v>
          </cell>
          <cell r="C447">
            <v>132</v>
          </cell>
          <cell r="D447">
            <v>200</v>
          </cell>
          <cell r="E447">
            <v>250</v>
          </cell>
          <cell r="F447">
            <v>300</v>
          </cell>
        </row>
        <row r="448">
          <cell r="A448" t="str">
            <v>SLA80607-C</v>
          </cell>
          <cell r="B448" t="str">
            <v>ブラケットＣ</v>
          </cell>
          <cell r="C448">
            <v>308</v>
          </cell>
          <cell r="D448">
            <v>450</v>
          </cell>
          <cell r="E448">
            <v>500</v>
          </cell>
          <cell r="F448">
            <v>600</v>
          </cell>
        </row>
        <row r="449">
          <cell r="A449" t="str">
            <v>SLA80607-D</v>
          </cell>
          <cell r="B449" t="str">
            <v>枠側ブラケット用スペーサ</v>
          </cell>
          <cell r="C449">
            <v>101</v>
          </cell>
          <cell r="D449">
            <v>200</v>
          </cell>
          <cell r="E449">
            <v>250</v>
          </cell>
          <cell r="F449">
            <v>250</v>
          </cell>
        </row>
        <row r="450">
          <cell r="A450" t="str">
            <v>SLB80010-A</v>
          </cell>
          <cell r="B450" t="str">
            <v>ケ－ブルブラケツト１１ブロンズ</v>
          </cell>
          <cell r="C450">
            <v>151</v>
          </cell>
          <cell r="D450">
            <v>250</v>
          </cell>
          <cell r="E450">
            <v>300</v>
          </cell>
          <cell r="F450">
            <v>350</v>
          </cell>
        </row>
        <row r="451">
          <cell r="A451" t="str">
            <v>SLB80306-A</v>
          </cell>
          <cell r="B451" t="str">
            <v>障子側ブラケツトＡブロンズ</v>
          </cell>
          <cell r="C451">
            <v>258</v>
          </cell>
          <cell r="D451">
            <v>400</v>
          </cell>
          <cell r="E451">
            <v>450</v>
          </cell>
          <cell r="F451">
            <v>500</v>
          </cell>
        </row>
        <row r="452">
          <cell r="A452" t="str">
            <v>SLB80307-A</v>
          </cell>
          <cell r="B452" t="str">
            <v>枠側ブラケツトＡブロンズ</v>
          </cell>
          <cell r="C452">
            <v>261</v>
          </cell>
          <cell r="D452">
            <v>400</v>
          </cell>
          <cell r="E452">
            <v>450</v>
          </cell>
          <cell r="F452">
            <v>500</v>
          </cell>
        </row>
        <row r="453">
          <cell r="A453" t="str">
            <v>SLB80307-B</v>
          </cell>
          <cell r="B453" t="str">
            <v>枠側ブラケツトＢブロンズ</v>
          </cell>
          <cell r="C453">
            <v>232</v>
          </cell>
          <cell r="D453">
            <v>350</v>
          </cell>
          <cell r="E453">
            <v>400</v>
          </cell>
          <cell r="F453">
            <v>450</v>
          </cell>
        </row>
        <row r="454">
          <cell r="A454" t="str">
            <v>旧BCJ195</v>
          </cell>
          <cell r="B454" t="str">
            <v>カバ－アッシ－</v>
          </cell>
          <cell r="C454">
            <v>19500</v>
          </cell>
          <cell r="D454">
            <v>23500</v>
          </cell>
          <cell r="E454">
            <v>26000</v>
          </cell>
          <cell r="F454">
            <v>30000</v>
          </cell>
        </row>
        <row r="455">
          <cell r="A455" t="str">
            <v>旧BCJ195</v>
          </cell>
          <cell r="B455" t="str">
            <v>電動駆動部サブアッシ－</v>
          </cell>
          <cell r="C455">
            <v>36000</v>
          </cell>
          <cell r="D455">
            <v>54000</v>
          </cell>
          <cell r="E455">
            <v>60000</v>
          </cell>
          <cell r="F455">
            <v>70000</v>
          </cell>
        </row>
        <row r="456">
          <cell r="A456" t="str">
            <v>YBGERS-01</v>
          </cell>
          <cell r="B456" t="str">
            <v>3点滑車セットシルバ－</v>
          </cell>
          <cell r="C456">
            <v>2330</v>
          </cell>
          <cell r="D456">
            <v>3500</v>
          </cell>
          <cell r="E456">
            <v>3800</v>
          </cell>
          <cell r="F456">
            <v>4500</v>
          </cell>
        </row>
        <row r="457">
          <cell r="A457" t="str">
            <v>YBGERB-02</v>
          </cell>
          <cell r="B457" t="str">
            <v>3点滑車セットブロンズ</v>
          </cell>
          <cell r="C457">
            <v>2560</v>
          </cell>
          <cell r="D457">
            <v>3800</v>
          </cell>
          <cell r="E457">
            <v>4200</v>
          </cell>
          <cell r="F457">
            <v>4800</v>
          </cell>
        </row>
        <row r="458">
          <cell r="A458" t="str">
            <v>YBGERS-03</v>
          </cell>
          <cell r="B458" t="str">
            <v>4点滑車セットシルバ－</v>
          </cell>
          <cell r="C458">
            <v>2740</v>
          </cell>
          <cell r="D458">
            <v>4200</v>
          </cell>
          <cell r="E458">
            <v>4600</v>
          </cell>
          <cell r="F458">
            <v>5300</v>
          </cell>
        </row>
        <row r="459">
          <cell r="A459" t="str">
            <v>YBGERB-04</v>
          </cell>
          <cell r="B459" t="str">
            <v>4点滑車セットブロンズ</v>
          </cell>
          <cell r="C459">
            <v>3030</v>
          </cell>
          <cell r="D459">
            <v>4500</v>
          </cell>
          <cell r="E459">
            <v>5000</v>
          </cell>
          <cell r="F459">
            <v>6000</v>
          </cell>
        </row>
        <row r="460">
          <cell r="A460" t="str">
            <v>YBGERS-05</v>
          </cell>
          <cell r="B460" t="str">
            <v>フレコン金具セットシルバー</v>
          </cell>
          <cell r="C460">
            <v>1860</v>
          </cell>
          <cell r="D460">
            <v>3000</v>
          </cell>
          <cell r="E460">
            <v>3500</v>
          </cell>
          <cell r="F460">
            <v>4000</v>
          </cell>
        </row>
        <row r="461">
          <cell r="A461" t="str">
            <v>YBGERB-06</v>
          </cell>
          <cell r="B461" t="str">
            <v>フレコン金具セットブロンズ</v>
          </cell>
          <cell r="C461">
            <v>2040</v>
          </cell>
          <cell r="D461">
            <v>3000</v>
          </cell>
          <cell r="E461">
            <v>3500</v>
          </cell>
          <cell r="F461">
            <v>4000</v>
          </cell>
        </row>
        <row r="462">
          <cell r="A462" t="str">
            <v>YBGERS-07</v>
          </cell>
          <cell r="B462" t="str">
            <v>3点滑車セットシルバ－耐蝕向上品</v>
          </cell>
          <cell r="C462">
            <v>8110</v>
          </cell>
          <cell r="D462">
            <v>12000</v>
          </cell>
          <cell r="E462">
            <v>13500</v>
          </cell>
          <cell r="F462">
            <v>15500</v>
          </cell>
        </row>
        <row r="463">
          <cell r="A463" t="str">
            <v>YBGERB-08</v>
          </cell>
          <cell r="B463" t="str">
            <v>3点滑車セットブロンズ耐蝕向上品</v>
          </cell>
          <cell r="C463">
            <v>8480</v>
          </cell>
          <cell r="D463">
            <v>12500</v>
          </cell>
          <cell r="E463">
            <v>14000</v>
          </cell>
          <cell r="F463">
            <v>16000</v>
          </cell>
        </row>
        <row r="464">
          <cell r="A464" t="str">
            <v>YBGERS-09</v>
          </cell>
          <cell r="B464" t="str">
            <v>4点滑車セットシルバ－耐蝕向上品</v>
          </cell>
          <cell r="C464">
            <v>10470</v>
          </cell>
          <cell r="D464">
            <v>16000</v>
          </cell>
          <cell r="E464">
            <v>17500</v>
          </cell>
          <cell r="F464">
            <v>20500</v>
          </cell>
        </row>
        <row r="465">
          <cell r="A465" t="str">
            <v>YBGERB-10</v>
          </cell>
          <cell r="B465" t="str">
            <v>4点滑車セットブロンズ耐蝕向上品</v>
          </cell>
          <cell r="C465">
            <v>10980</v>
          </cell>
          <cell r="D465">
            <v>16500</v>
          </cell>
          <cell r="E465">
            <v>18500</v>
          </cell>
          <cell r="F465">
            <v>21000</v>
          </cell>
        </row>
        <row r="466">
          <cell r="A466" t="str">
            <v>YBGERS-11</v>
          </cell>
          <cell r="B466" t="str">
            <v>連窓部3点滑車セットシルバー</v>
          </cell>
          <cell r="C466">
            <v>4530</v>
          </cell>
          <cell r="D466">
            <v>7000</v>
          </cell>
          <cell r="E466">
            <v>7500</v>
          </cell>
          <cell r="F466">
            <v>8500</v>
          </cell>
        </row>
        <row r="467">
          <cell r="A467" t="str">
            <v>YBGERB-12</v>
          </cell>
          <cell r="B467" t="str">
            <v>連窓部3点滑車セットブロンズ</v>
          </cell>
          <cell r="C467">
            <v>5200</v>
          </cell>
          <cell r="D467">
            <v>8000</v>
          </cell>
          <cell r="E467">
            <v>9000</v>
          </cell>
          <cell r="F467">
            <v>10000</v>
          </cell>
        </row>
        <row r="468">
          <cell r="A468" t="str">
            <v>YBGERS-13</v>
          </cell>
          <cell r="B468" t="str">
            <v>連窓部4点滑車セットシルバー</v>
          </cell>
          <cell r="C468">
            <v>5230</v>
          </cell>
          <cell r="D468">
            <v>8000</v>
          </cell>
          <cell r="E468">
            <v>9000</v>
          </cell>
          <cell r="F468">
            <v>10000</v>
          </cell>
        </row>
        <row r="469">
          <cell r="A469" t="str">
            <v>YBGERB-14</v>
          </cell>
          <cell r="B469" t="str">
            <v>連窓部4点滑車セットブロンズ</v>
          </cell>
          <cell r="C469">
            <v>6030</v>
          </cell>
          <cell r="D469">
            <v>9000</v>
          </cell>
          <cell r="E469">
            <v>10000</v>
          </cell>
          <cell r="F469">
            <v>11500</v>
          </cell>
        </row>
        <row r="470">
          <cell r="A470" t="str">
            <v>YBGERS-15</v>
          </cell>
          <cell r="B470" t="str">
            <v>連窓部3点滑車セットシルバー耐蝕向上品</v>
          </cell>
          <cell r="C470">
            <v>9840</v>
          </cell>
          <cell r="D470">
            <v>15000</v>
          </cell>
          <cell r="E470">
            <v>16500</v>
          </cell>
          <cell r="F470">
            <v>19000</v>
          </cell>
        </row>
        <row r="471">
          <cell r="A471" t="str">
            <v>YBGERB-16</v>
          </cell>
          <cell r="B471" t="str">
            <v>連窓部3点滑車セットブロンズ耐蝕向上品</v>
          </cell>
          <cell r="C471">
            <v>10590</v>
          </cell>
          <cell r="D471">
            <v>16000</v>
          </cell>
          <cell r="E471">
            <v>17500</v>
          </cell>
          <cell r="F471">
            <v>20000</v>
          </cell>
        </row>
        <row r="472">
          <cell r="A472" t="str">
            <v>YBGERS-17</v>
          </cell>
          <cell r="B472" t="str">
            <v>連窓部4点滑車セットシルバー耐蝕向上品</v>
          </cell>
          <cell r="C472">
            <v>12200</v>
          </cell>
          <cell r="D472">
            <v>18500</v>
          </cell>
          <cell r="E472">
            <v>20000</v>
          </cell>
          <cell r="F472">
            <v>23000</v>
          </cell>
        </row>
        <row r="473">
          <cell r="A473" t="str">
            <v>YBGERB-18</v>
          </cell>
          <cell r="B473" t="str">
            <v>連窓部4点滑車セットブロンズ耐蝕向上品</v>
          </cell>
          <cell r="C473">
            <v>13080</v>
          </cell>
          <cell r="D473">
            <v>20000</v>
          </cell>
          <cell r="E473">
            <v>22000</v>
          </cell>
          <cell r="F473">
            <v>25000</v>
          </cell>
        </row>
        <row r="474">
          <cell r="A474" t="str">
            <v>YBGERS-AO</v>
          </cell>
          <cell r="B474" t="str">
            <v>丸ステイAO＋ビスセットシルバー</v>
          </cell>
          <cell r="C474">
            <v>3740</v>
          </cell>
          <cell r="D474">
            <v>5600</v>
          </cell>
          <cell r="E474">
            <v>6600</v>
          </cell>
          <cell r="F474">
            <v>7600</v>
          </cell>
        </row>
        <row r="475">
          <cell r="A475" t="str">
            <v>YBGERB-AO</v>
          </cell>
          <cell r="B475" t="str">
            <v>丸ステイAO＋ビスセットブロンズ</v>
          </cell>
          <cell r="C475">
            <v>3870</v>
          </cell>
          <cell r="D475">
            <v>5800</v>
          </cell>
          <cell r="E475">
            <v>6700</v>
          </cell>
          <cell r="F475">
            <v>7700</v>
          </cell>
        </row>
        <row r="476">
          <cell r="A476" t="str">
            <v>YBGERS-BO</v>
          </cell>
          <cell r="B476" t="str">
            <v>丸ステイBO＋ビスセットシルバー</v>
          </cell>
          <cell r="C476">
            <v>3850</v>
          </cell>
          <cell r="D476">
            <v>5800</v>
          </cell>
          <cell r="E476">
            <v>6700</v>
          </cell>
          <cell r="F476">
            <v>7700</v>
          </cell>
        </row>
        <row r="477">
          <cell r="A477" t="str">
            <v>YBGERB-BO</v>
          </cell>
          <cell r="B477" t="str">
            <v>丸ステイBO＋ビスセットブロンズ</v>
          </cell>
          <cell r="C477">
            <v>4000</v>
          </cell>
          <cell r="D477">
            <v>6000</v>
          </cell>
          <cell r="E477">
            <v>6800</v>
          </cell>
          <cell r="F477">
            <v>7800</v>
          </cell>
        </row>
        <row r="478">
          <cell r="A478" t="str">
            <v>YBGERS-CO</v>
          </cell>
          <cell r="B478" t="str">
            <v>丸ステイCO＋ビスセットシルバー</v>
          </cell>
          <cell r="C478">
            <v>3970</v>
          </cell>
          <cell r="D478">
            <v>6100</v>
          </cell>
          <cell r="E478">
            <v>7100</v>
          </cell>
          <cell r="F478">
            <v>8200</v>
          </cell>
        </row>
        <row r="479">
          <cell r="A479" t="str">
            <v>YBGERB-CO</v>
          </cell>
          <cell r="B479" t="str">
            <v>丸ステイCO＋ビスセットブロンズ</v>
          </cell>
          <cell r="C479">
            <v>4170</v>
          </cell>
          <cell r="D479">
            <v>6300</v>
          </cell>
          <cell r="E479">
            <v>7200</v>
          </cell>
          <cell r="F479">
            <v>8200</v>
          </cell>
        </row>
        <row r="480">
          <cell r="A480" t="str">
            <v>YBGERS-DO</v>
          </cell>
          <cell r="B480" t="str">
            <v>丸ステイDO＋ビスセットシルバー</v>
          </cell>
          <cell r="C480">
            <v>4100</v>
          </cell>
          <cell r="D480">
            <v>6100</v>
          </cell>
          <cell r="E480">
            <v>7100</v>
          </cell>
          <cell r="F480">
            <v>8200</v>
          </cell>
        </row>
        <row r="481">
          <cell r="A481" t="str">
            <v>YBGERB-DO</v>
          </cell>
          <cell r="B481" t="str">
            <v>丸ステイDO＋ビスセットブロンズ</v>
          </cell>
          <cell r="C481">
            <v>4300</v>
          </cell>
          <cell r="D481">
            <v>6500</v>
          </cell>
          <cell r="E481">
            <v>7200</v>
          </cell>
          <cell r="F481">
            <v>8200</v>
          </cell>
        </row>
        <row r="482">
          <cell r="A482" t="str">
            <v>YBGERS-FO</v>
          </cell>
          <cell r="B482" t="str">
            <v>丸ステイFO＋ビスセットシルバー</v>
          </cell>
          <cell r="C482">
            <v>3850</v>
          </cell>
          <cell r="D482">
            <v>5800</v>
          </cell>
          <cell r="E482">
            <v>6700</v>
          </cell>
          <cell r="F482">
            <v>7700</v>
          </cell>
        </row>
        <row r="483">
          <cell r="A483" t="str">
            <v>YBGERB-FO</v>
          </cell>
          <cell r="B483" t="str">
            <v>丸ステイFO＋ビスセットブロンズ</v>
          </cell>
          <cell r="C483">
            <v>3990</v>
          </cell>
          <cell r="D483">
            <v>6000</v>
          </cell>
          <cell r="E483">
            <v>6800</v>
          </cell>
          <cell r="F483">
            <v>7800</v>
          </cell>
        </row>
        <row r="484">
          <cell r="A484" t="str">
            <v>YBGERS-MAO</v>
          </cell>
          <cell r="B484" t="str">
            <v>丸ステイMAO＋ビスセットシルバー</v>
          </cell>
          <cell r="C484">
            <v>4080</v>
          </cell>
          <cell r="D484">
            <v>6200</v>
          </cell>
          <cell r="E484">
            <v>7200</v>
          </cell>
          <cell r="F484">
            <v>8200</v>
          </cell>
        </row>
        <row r="485">
          <cell r="A485" t="str">
            <v>YBGERB-MAO</v>
          </cell>
          <cell r="B485" t="str">
            <v>丸ステイMAO＋ビスセットブロンズ</v>
          </cell>
          <cell r="C485">
            <v>4140</v>
          </cell>
          <cell r="D485">
            <v>6200</v>
          </cell>
          <cell r="E485">
            <v>7200</v>
          </cell>
          <cell r="F485">
            <v>8200</v>
          </cell>
        </row>
        <row r="486">
          <cell r="A486" t="str">
            <v>YBGERS-MBO</v>
          </cell>
          <cell r="B486" t="str">
            <v>丸ステイMBO＋ビスセットシルバー</v>
          </cell>
          <cell r="C486">
            <v>4080</v>
          </cell>
          <cell r="D486">
            <v>6200</v>
          </cell>
          <cell r="E486">
            <v>7200</v>
          </cell>
          <cell r="F486">
            <v>8200</v>
          </cell>
        </row>
        <row r="487">
          <cell r="A487" t="str">
            <v>YBGERB-MBO</v>
          </cell>
          <cell r="B487" t="str">
            <v>丸ステイMBO＋ビスセットブロンズ</v>
          </cell>
          <cell r="C487">
            <v>4140</v>
          </cell>
          <cell r="D487">
            <v>6200</v>
          </cell>
          <cell r="E487">
            <v>7200</v>
          </cell>
          <cell r="F487">
            <v>8200</v>
          </cell>
        </row>
        <row r="488">
          <cell r="A488" t="str">
            <v>YBGERS-MCO</v>
          </cell>
          <cell r="B488" t="str">
            <v>丸ステイMCO＋ビスセットシルバー</v>
          </cell>
          <cell r="C488">
            <v>4210</v>
          </cell>
          <cell r="D488">
            <v>6300</v>
          </cell>
          <cell r="E488">
            <v>7200</v>
          </cell>
          <cell r="F488">
            <v>8200</v>
          </cell>
        </row>
        <row r="489">
          <cell r="A489" t="str">
            <v>YBGERB-MCO</v>
          </cell>
          <cell r="B489" t="str">
            <v>丸ステイMCO＋ビスセットブロンズ</v>
          </cell>
          <cell r="C489">
            <v>4270</v>
          </cell>
          <cell r="D489">
            <v>6400</v>
          </cell>
          <cell r="E489">
            <v>7200</v>
          </cell>
          <cell r="F489">
            <v>8200</v>
          </cell>
        </row>
        <row r="490">
          <cell r="A490" t="str">
            <v>BSL81130-8M</v>
          </cell>
          <cell r="B490" t="str">
            <v>ワイヤロープ1.8　８M</v>
          </cell>
          <cell r="C490">
            <v>1100</v>
          </cell>
          <cell r="D490">
            <v>1650</v>
          </cell>
          <cell r="E490">
            <v>1850</v>
          </cell>
          <cell r="F490">
            <v>2150</v>
          </cell>
        </row>
        <row r="491">
          <cell r="A491" t="str">
            <v>BSL81130-10M</v>
          </cell>
          <cell r="B491" t="str">
            <v>ワイヤロープ1.8　10M</v>
          </cell>
          <cell r="C491">
            <v>1240</v>
          </cell>
          <cell r="D491">
            <v>1900</v>
          </cell>
          <cell r="E491">
            <v>2000</v>
          </cell>
          <cell r="F491">
            <v>2300</v>
          </cell>
        </row>
        <row r="492">
          <cell r="A492" t="str">
            <v>BSL81130-14M</v>
          </cell>
          <cell r="B492" t="str">
            <v>ワイヤロープ1.8　14M</v>
          </cell>
          <cell r="C492">
            <v>1420</v>
          </cell>
          <cell r="D492">
            <v>2150</v>
          </cell>
          <cell r="E492">
            <v>2400</v>
          </cell>
          <cell r="F492">
            <v>2800</v>
          </cell>
        </row>
        <row r="493">
          <cell r="A493" t="str">
            <v>BSL81130-18M</v>
          </cell>
          <cell r="B493" t="str">
            <v>ワイヤロープ1.8　18M</v>
          </cell>
          <cell r="C493">
            <v>1650</v>
          </cell>
          <cell r="D493">
            <v>2500</v>
          </cell>
          <cell r="E493">
            <v>2700</v>
          </cell>
          <cell r="F493">
            <v>3100</v>
          </cell>
        </row>
        <row r="494">
          <cell r="A494" t="str">
            <v>BSL81130-26M</v>
          </cell>
          <cell r="B494" t="str">
            <v>ワイヤロープ1.8　26M</v>
          </cell>
          <cell r="C494">
            <v>2150</v>
          </cell>
          <cell r="D494">
            <v>3200</v>
          </cell>
          <cell r="E494">
            <v>3500</v>
          </cell>
          <cell r="F494">
            <v>4000</v>
          </cell>
        </row>
        <row r="495">
          <cell r="A495" t="str">
            <v>BSL81130-50M</v>
          </cell>
          <cell r="B495" t="str">
            <v>ワイヤロープ1.8　50M</v>
          </cell>
          <cell r="C495">
            <v>3580</v>
          </cell>
          <cell r="D495">
            <v>5500</v>
          </cell>
          <cell r="E495">
            <v>6000</v>
          </cell>
          <cell r="F495">
            <v>7000</v>
          </cell>
        </row>
        <row r="496">
          <cell r="A496" t="str">
            <v>BGS28119-K1</v>
          </cell>
          <cell r="B496" t="str">
            <v>ガスステイ　シルバー</v>
          </cell>
          <cell r="C496">
            <v>4260</v>
          </cell>
          <cell r="D496">
            <v>6400</v>
          </cell>
          <cell r="E496">
            <v>7100</v>
          </cell>
          <cell r="F496">
            <v>8100</v>
          </cell>
        </row>
        <row r="497">
          <cell r="A497" t="str">
            <v>BGS35025-15</v>
          </cell>
          <cell r="B497" t="str">
            <v>ガスステイ　シルバー</v>
          </cell>
          <cell r="C497">
            <v>5290</v>
          </cell>
          <cell r="D497">
            <v>7900</v>
          </cell>
          <cell r="E497">
            <v>8700</v>
          </cell>
          <cell r="F497">
            <v>10100</v>
          </cell>
        </row>
        <row r="498">
          <cell r="A498" t="str">
            <v>BGS42525-15</v>
          </cell>
          <cell r="B498" t="str">
            <v>ガスステイ　シルバー</v>
          </cell>
          <cell r="C498">
            <v>5520</v>
          </cell>
          <cell r="D498">
            <v>8300</v>
          </cell>
          <cell r="E498">
            <v>9600</v>
          </cell>
          <cell r="F498">
            <v>11100</v>
          </cell>
        </row>
        <row r="499">
          <cell r="A499" t="str">
            <v>BGS50025-15</v>
          </cell>
          <cell r="B499" t="str">
            <v>ガスステイ　シルバー</v>
          </cell>
          <cell r="C499">
            <v>5630</v>
          </cell>
          <cell r="D499">
            <v>8500</v>
          </cell>
          <cell r="E499">
            <v>9600</v>
          </cell>
          <cell r="F499">
            <v>11100</v>
          </cell>
        </row>
        <row r="500">
          <cell r="A500" t="str">
            <v>BGS55025-15</v>
          </cell>
          <cell r="B500" t="str">
            <v>ガスステイ　シルバー</v>
          </cell>
          <cell r="C500">
            <v>5740</v>
          </cell>
          <cell r="D500">
            <v>8600</v>
          </cell>
          <cell r="E500">
            <v>10100</v>
          </cell>
          <cell r="F500">
            <v>11600</v>
          </cell>
        </row>
        <row r="501">
          <cell r="A501" t="str">
            <v>BGS55020-15</v>
          </cell>
          <cell r="B501" t="str">
            <v>ガスステイ　シルバー</v>
          </cell>
          <cell r="C501">
            <v>5600</v>
          </cell>
          <cell r="D501">
            <v>8600</v>
          </cell>
          <cell r="E501">
            <v>10100</v>
          </cell>
          <cell r="F501">
            <v>11600</v>
          </cell>
        </row>
        <row r="502">
          <cell r="A502" t="str">
            <v>BGS64425-15</v>
          </cell>
          <cell r="B502" t="str">
            <v>ガスステイ　シルバー</v>
          </cell>
          <cell r="C502">
            <v>5840</v>
          </cell>
          <cell r="D502">
            <v>8800</v>
          </cell>
          <cell r="E502">
            <v>10100</v>
          </cell>
          <cell r="F502">
            <v>11600</v>
          </cell>
        </row>
        <row r="503">
          <cell r="A503" t="str">
            <v>BGS73025-15</v>
          </cell>
          <cell r="B503" t="str">
            <v>ガスステイ　シルバー</v>
          </cell>
          <cell r="C503">
            <v>6300</v>
          </cell>
          <cell r="D503">
            <v>9500</v>
          </cell>
          <cell r="E503">
            <v>11200</v>
          </cell>
          <cell r="F503">
            <v>12700</v>
          </cell>
        </row>
        <row r="504">
          <cell r="A504" t="str">
            <v>YBGERU-01</v>
          </cell>
          <cell r="B504" t="str">
            <v>3点滑車セットシルバ－</v>
          </cell>
          <cell r="C504">
            <v>3210</v>
          </cell>
          <cell r="D504">
            <v>4800</v>
          </cell>
          <cell r="E504">
            <v>5300</v>
          </cell>
          <cell r="F504">
            <v>6100</v>
          </cell>
        </row>
        <row r="505">
          <cell r="A505" t="str">
            <v>YBGERU-02</v>
          </cell>
          <cell r="B505" t="str">
            <v>3点滑車セットブロンズ</v>
          </cell>
          <cell r="C505">
            <v>3770</v>
          </cell>
          <cell r="D505">
            <v>5700</v>
          </cell>
          <cell r="E505">
            <v>6300</v>
          </cell>
          <cell r="F505">
            <v>7200</v>
          </cell>
        </row>
        <row r="506">
          <cell r="A506" t="str">
            <v>YBGERU-03</v>
          </cell>
          <cell r="B506" t="str">
            <v>4点滑車セットシルバ－</v>
          </cell>
          <cell r="C506">
            <v>4230</v>
          </cell>
          <cell r="D506">
            <v>6300</v>
          </cell>
          <cell r="E506">
            <v>7200</v>
          </cell>
          <cell r="F506">
            <v>8200</v>
          </cell>
        </row>
        <row r="507">
          <cell r="A507" t="str">
            <v>YBGERU-04</v>
          </cell>
          <cell r="B507" t="str">
            <v>4点滑車セットブロンズ</v>
          </cell>
          <cell r="C507">
            <v>5020</v>
          </cell>
          <cell r="D507">
            <v>7500</v>
          </cell>
          <cell r="E507">
            <v>8200</v>
          </cell>
          <cell r="F507">
            <v>9500</v>
          </cell>
        </row>
        <row r="508">
          <cell r="A508" t="str">
            <v>YBGERU-05</v>
          </cell>
          <cell r="B508" t="str">
            <v>ケーシングキャップ取付金具シルバー</v>
          </cell>
          <cell r="C508">
            <v>1180</v>
          </cell>
          <cell r="D508">
            <v>2100</v>
          </cell>
          <cell r="E508">
            <v>2300</v>
          </cell>
          <cell r="F508">
            <v>2600</v>
          </cell>
        </row>
        <row r="509">
          <cell r="A509" t="str">
            <v>YBGERU-06</v>
          </cell>
          <cell r="B509" t="str">
            <v>ケーシングキャップ取付金具ブロンズ</v>
          </cell>
          <cell r="C509">
            <v>1360</v>
          </cell>
          <cell r="D509">
            <v>2100</v>
          </cell>
          <cell r="E509">
            <v>2400</v>
          </cell>
          <cell r="F509">
            <v>2800</v>
          </cell>
        </row>
        <row r="510">
          <cell r="A510" t="str">
            <v>YBGERU-07</v>
          </cell>
          <cell r="B510" t="str">
            <v>内倒し３点滑車セット連窓Aシルバー</v>
          </cell>
          <cell r="C510">
            <v>3300</v>
          </cell>
          <cell r="D510">
            <v>5000</v>
          </cell>
          <cell r="E510">
            <v>5500</v>
          </cell>
          <cell r="F510">
            <v>6300</v>
          </cell>
        </row>
        <row r="511">
          <cell r="A511" t="str">
            <v>YBGERU-08</v>
          </cell>
          <cell r="B511" t="str">
            <v>内倒し３点滑車セット連窓Aブロンズ</v>
          </cell>
          <cell r="C511">
            <v>3860</v>
          </cell>
          <cell r="D511">
            <v>5800</v>
          </cell>
          <cell r="E511">
            <v>6600</v>
          </cell>
          <cell r="F511">
            <v>7600</v>
          </cell>
        </row>
        <row r="512">
          <cell r="A512" t="str">
            <v>YBGERU-09</v>
          </cell>
          <cell r="B512" t="str">
            <v>内倒し4点滑車セット連窓Aシルバー</v>
          </cell>
          <cell r="C512">
            <v>4410</v>
          </cell>
          <cell r="D512">
            <v>6500</v>
          </cell>
          <cell r="E512">
            <v>7500</v>
          </cell>
          <cell r="F512">
            <v>8500</v>
          </cell>
        </row>
        <row r="513">
          <cell r="A513" t="str">
            <v>YBGERU-10</v>
          </cell>
          <cell r="B513" t="str">
            <v>内倒し4点滑車セット連窓Aブロンズ</v>
          </cell>
          <cell r="C513">
            <v>5160</v>
          </cell>
          <cell r="D513">
            <v>7800</v>
          </cell>
          <cell r="E513">
            <v>8600</v>
          </cell>
          <cell r="F513">
            <v>9800</v>
          </cell>
        </row>
        <row r="514">
          <cell r="A514" t="str">
            <v>YBGERU-11</v>
          </cell>
          <cell r="B514" t="str">
            <v>内倒し３点滑車セット連窓Bシルバー</v>
          </cell>
          <cell r="C514">
            <v>3270</v>
          </cell>
          <cell r="D514">
            <v>5000</v>
          </cell>
          <cell r="E514">
            <v>5500</v>
          </cell>
          <cell r="F514">
            <v>6500</v>
          </cell>
        </row>
        <row r="515">
          <cell r="A515" t="str">
            <v>YBGERU-12</v>
          </cell>
          <cell r="B515" t="str">
            <v>内倒し３点滑車セット連窓Bブロンズ</v>
          </cell>
          <cell r="C515">
            <v>3830</v>
          </cell>
          <cell r="D515">
            <v>5700</v>
          </cell>
          <cell r="E515">
            <v>6300</v>
          </cell>
          <cell r="F515">
            <v>7200</v>
          </cell>
        </row>
        <row r="516">
          <cell r="A516" t="str">
            <v>YBGERU-13</v>
          </cell>
          <cell r="B516" t="str">
            <v>内倒し4点滑車セット連窓Bシルバー</v>
          </cell>
          <cell r="C516">
            <v>4380</v>
          </cell>
          <cell r="D516">
            <v>7000</v>
          </cell>
          <cell r="E516">
            <v>7500</v>
          </cell>
          <cell r="F516">
            <v>8500</v>
          </cell>
        </row>
        <row r="517">
          <cell r="A517" t="str">
            <v>YBGERU-14</v>
          </cell>
          <cell r="B517" t="str">
            <v>内倒し4点滑車セット連窓Bブロンズ</v>
          </cell>
          <cell r="C517">
            <v>5170</v>
          </cell>
          <cell r="D517">
            <v>7800</v>
          </cell>
          <cell r="E517">
            <v>8600</v>
          </cell>
          <cell r="F517">
            <v>10100</v>
          </cell>
        </row>
        <row r="518">
          <cell r="A518" t="str">
            <v>YBGERU-15</v>
          </cell>
          <cell r="B518" t="str">
            <v>内倒し３点滑車セット連単シルバー耐蝕向上品</v>
          </cell>
          <cell r="C518">
            <v>9130</v>
          </cell>
          <cell r="D518">
            <v>13700</v>
          </cell>
          <cell r="E518">
            <v>15100</v>
          </cell>
          <cell r="F518">
            <v>17300</v>
          </cell>
        </row>
        <row r="519">
          <cell r="A519" t="str">
            <v>YBGERU-16</v>
          </cell>
          <cell r="B519" t="str">
            <v>内倒し３点滑車セット連単ブロンズ耐蝕向上品</v>
          </cell>
          <cell r="C519">
            <v>9870</v>
          </cell>
          <cell r="D519">
            <v>14800</v>
          </cell>
          <cell r="E519">
            <v>16300</v>
          </cell>
          <cell r="F519">
            <v>18800</v>
          </cell>
        </row>
        <row r="520">
          <cell r="A520" t="str">
            <v>YBGERU-17</v>
          </cell>
          <cell r="B520" t="str">
            <v>内倒し4点滑車セット連単シルバー耐蝕向上品</v>
          </cell>
          <cell r="C520">
            <v>12120</v>
          </cell>
          <cell r="D520">
            <v>18000</v>
          </cell>
          <cell r="E520">
            <v>20500</v>
          </cell>
          <cell r="F520">
            <v>25500</v>
          </cell>
        </row>
        <row r="521">
          <cell r="A521" t="str">
            <v>YBGERU-18</v>
          </cell>
          <cell r="B521" t="str">
            <v>内倒し4点滑車セット連単ブロンズ耐蝕向上品</v>
          </cell>
          <cell r="C521">
            <v>13160</v>
          </cell>
          <cell r="D521">
            <v>19800</v>
          </cell>
          <cell r="E521">
            <v>22500</v>
          </cell>
          <cell r="F521">
            <v>25500</v>
          </cell>
        </row>
        <row r="522">
          <cell r="A522" t="str">
            <v>YBGERU-19</v>
          </cell>
          <cell r="B522" t="str">
            <v>内倒し３点滑車セット連窓Aシルバー耐蝕向上品</v>
          </cell>
          <cell r="C522">
            <v>9210</v>
          </cell>
          <cell r="D522">
            <v>13800</v>
          </cell>
          <cell r="E522">
            <v>15000</v>
          </cell>
          <cell r="F522">
            <v>17500</v>
          </cell>
        </row>
        <row r="523">
          <cell r="A523" t="str">
            <v>YBGERU-20</v>
          </cell>
          <cell r="B523" t="str">
            <v>内倒し３点滑車セット連窓Aブロンズ耐蝕向上品</v>
          </cell>
          <cell r="C523">
            <v>9950</v>
          </cell>
          <cell r="D523">
            <v>15000</v>
          </cell>
          <cell r="E523">
            <v>17000</v>
          </cell>
          <cell r="F523">
            <v>19500</v>
          </cell>
        </row>
        <row r="524">
          <cell r="A524" t="str">
            <v>YBGERU-21</v>
          </cell>
          <cell r="B524" t="str">
            <v>内倒し4点滑車セット連窓Aシルバー耐蝕向上品</v>
          </cell>
          <cell r="C524">
            <v>12170</v>
          </cell>
          <cell r="D524">
            <v>18000</v>
          </cell>
          <cell r="E524">
            <v>20500</v>
          </cell>
          <cell r="F524">
            <v>23500</v>
          </cell>
        </row>
        <row r="525">
          <cell r="A525" t="str">
            <v>YBGERU-22</v>
          </cell>
          <cell r="B525" t="str">
            <v>内倒し4点滑車セット連窓Aブロンズ耐蝕向上品</v>
          </cell>
          <cell r="C525">
            <v>13270</v>
          </cell>
          <cell r="D525">
            <v>20000</v>
          </cell>
          <cell r="E525">
            <v>23000</v>
          </cell>
          <cell r="F525">
            <v>27000</v>
          </cell>
        </row>
        <row r="526">
          <cell r="A526" t="str">
            <v>YBGERU-23</v>
          </cell>
          <cell r="B526" t="str">
            <v>内倒し3点滑車セット連窓Bシルバー耐蝕向上品</v>
          </cell>
          <cell r="C526">
            <v>9010</v>
          </cell>
          <cell r="D526">
            <v>13500</v>
          </cell>
          <cell r="E526">
            <v>15500</v>
          </cell>
          <cell r="F526">
            <v>17500</v>
          </cell>
        </row>
        <row r="527">
          <cell r="A527" t="str">
            <v>YBGERU-24</v>
          </cell>
          <cell r="B527" t="str">
            <v>内倒し3点滑車セット連窓Bブロンズ耐蝕向上品</v>
          </cell>
          <cell r="C527">
            <v>9740</v>
          </cell>
          <cell r="D527">
            <v>14500</v>
          </cell>
          <cell r="E527">
            <v>16500</v>
          </cell>
          <cell r="F527">
            <v>18800</v>
          </cell>
        </row>
        <row r="528">
          <cell r="A528" t="str">
            <v>YBGERU-25</v>
          </cell>
          <cell r="B528" t="str">
            <v>内倒し4点滑車セット連窓Bシルバー耐蝕向上品</v>
          </cell>
          <cell r="C528">
            <v>12150</v>
          </cell>
          <cell r="D528">
            <v>18000</v>
          </cell>
          <cell r="E528">
            <v>20500</v>
          </cell>
          <cell r="F528">
            <v>23500</v>
          </cell>
        </row>
        <row r="529">
          <cell r="A529" t="str">
            <v>YBGERU-26</v>
          </cell>
          <cell r="B529" t="str">
            <v>内倒し4点滑車セット連窓Bブロンズ耐蝕向上品</v>
          </cell>
          <cell r="C529">
            <v>13180</v>
          </cell>
          <cell r="D529">
            <v>20000</v>
          </cell>
          <cell r="E529">
            <v>23000</v>
          </cell>
          <cell r="F529">
            <v>26000</v>
          </cell>
        </row>
        <row r="530">
          <cell r="A530" t="str">
            <v>LXRBFS-01</v>
          </cell>
          <cell r="B530" t="str">
            <v>外倒し3点滑車セットシルバ－</v>
          </cell>
          <cell r="C530">
            <v>3800</v>
          </cell>
          <cell r="D530">
            <v>5700</v>
          </cell>
          <cell r="E530">
            <v>6300</v>
          </cell>
          <cell r="F530">
            <v>7300</v>
          </cell>
        </row>
        <row r="531">
          <cell r="A531" t="str">
            <v>LXRBFS-02</v>
          </cell>
          <cell r="B531" t="str">
            <v>　　　　3点滑車セットブロンズ</v>
          </cell>
          <cell r="C531">
            <v>4340</v>
          </cell>
          <cell r="D531">
            <v>6500</v>
          </cell>
          <cell r="E531">
            <v>7300</v>
          </cell>
          <cell r="F531">
            <v>8400</v>
          </cell>
        </row>
        <row r="532">
          <cell r="A532" t="str">
            <v>LXRBFS-03</v>
          </cell>
          <cell r="B532" t="str">
            <v>　　　　4点滑車セットシルバ－</v>
          </cell>
          <cell r="C532">
            <v>4400</v>
          </cell>
          <cell r="D532">
            <v>6600</v>
          </cell>
          <cell r="E532">
            <v>7300</v>
          </cell>
          <cell r="F532">
            <v>8400</v>
          </cell>
        </row>
        <row r="533">
          <cell r="A533" t="str">
            <v>LXRBFS-04</v>
          </cell>
          <cell r="B533" t="str">
            <v>　　　　4点滑車セットブロンズ</v>
          </cell>
          <cell r="C533">
            <v>4900</v>
          </cell>
          <cell r="D533">
            <v>7400</v>
          </cell>
          <cell r="E533">
            <v>8200</v>
          </cell>
          <cell r="F533">
            <v>9400</v>
          </cell>
        </row>
        <row r="534">
          <cell r="A534" t="str">
            <v>LXRBFS-05</v>
          </cell>
          <cell r="B534" t="str">
            <v>　　　　フレコン金具セットシルバー</v>
          </cell>
          <cell r="C534">
            <v>2410</v>
          </cell>
          <cell r="D534">
            <v>3600</v>
          </cell>
          <cell r="E534">
            <v>4200</v>
          </cell>
          <cell r="F534">
            <v>5000</v>
          </cell>
        </row>
        <row r="535">
          <cell r="A535" t="str">
            <v>LXRBFS-06</v>
          </cell>
          <cell r="B535" t="str">
            <v>　　　　フレコン金具セットブロンズ</v>
          </cell>
          <cell r="C535">
            <v>2710</v>
          </cell>
          <cell r="D535">
            <v>4000</v>
          </cell>
          <cell r="E535">
            <v>4600</v>
          </cell>
          <cell r="F535">
            <v>5300</v>
          </cell>
        </row>
        <row r="536">
          <cell r="A536" t="str">
            <v>LXRBFS-07</v>
          </cell>
          <cell r="B536" t="str">
            <v>　　　　連窓部品Aセッ　トシルバー</v>
          </cell>
          <cell r="C536">
            <v>1900</v>
          </cell>
          <cell r="D536">
            <v>2850</v>
          </cell>
          <cell r="E536">
            <v>3300</v>
          </cell>
          <cell r="F536">
            <v>3800</v>
          </cell>
        </row>
        <row r="537">
          <cell r="A537" t="str">
            <v>LXRBFS-08</v>
          </cell>
          <cell r="B537" t="str">
            <v>　　　　連窓部品Aセッ　トブロンズ</v>
          </cell>
          <cell r="C537">
            <v>2200</v>
          </cell>
          <cell r="D537">
            <v>3300</v>
          </cell>
          <cell r="E537">
            <v>3800</v>
          </cell>
          <cell r="F537">
            <v>4400</v>
          </cell>
        </row>
        <row r="538">
          <cell r="A538" t="str">
            <v>LXRBFS-09</v>
          </cell>
          <cell r="B538" t="str">
            <v>　　　　連窓部品Bセッ　トシルバー</v>
          </cell>
          <cell r="C538">
            <v>4300</v>
          </cell>
          <cell r="D538">
            <v>6450</v>
          </cell>
          <cell r="E538">
            <v>7200</v>
          </cell>
          <cell r="F538">
            <v>8200</v>
          </cell>
        </row>
        <row r="539">
          <cell r="A539" t="str">
            <v>LXRBFS-10</v>
          </cell>
          <cell r="B539" t="str">
            <v>　　　　連窓部品Bセッ　トブロンズ</v>
          </cell>
          <cell r="C539">
            <v>4900</v>
          </cell>
          <cell r="D539">
            <v>7500</v>
          </cell>
          <cell r="E539">
            <v>8850</v>
          </cell>
          <cell r="F539">
            <v>10200</v>
          </cell>
        </row>
        <row r="540">
          <cell r="A540" t="str">
            <v>LXRBFU-01</v>
          </cell>
          <cell r="B540" t="str">
            <v>内倒し3点滑車セットシルバ－</v>
          </cell>
          <cell r="C540">
            <v>5200</v>
          </cell>
          <cell r="D540">
            <v>7800</v>
          </cell>
          <cell r="E540">
            <v>8900</v>
          </cell>
          <cell r="F540">
            <v>11700</v>
          </cell>
        </row>
        <row r="541">
          <cell r="A541" t="str">
            <v>LXRBFU-02</v>
          </cell>
          <cell r="B541" t="str">
            <v>　　　　3点滑車セットブロンズ</v>
          </cell>
          <cell r="C541">
            <v>5920</v>
          </cell>
          <cell r="D541">
            <v>8900</v>
          </cell>
          <cell r="E541">
            <v>10000</v>
          </cell>
          <cell r="F541">
            <v>11400</v>
          </cell>
        </row>
        <row r="542">
          <cell r="A542" t="str">
            <v>LXRBFU-03</v>
          </cell>
          <cell r="B542" t="str">
            <v>　　　　4点滑車セットシルバ－</v>
          </cell>
          <cell r="C542">
            <v>6800</v>
          </cell>
          <cell r="D542">
            <v>10200</v>
          </cell>
          <cell r="E542">
            <v>11400</v>
          </cell>
          <cell r="F542">
            <v>13100</v>
          </cell>
        </row>
        <row r="543">
          <cell r="A543" t="str">
            <v>LXRBFU-04</v>
          </cell>
          <cell r="B543" t="str">
            <v>　　　　4点滑車セットブロンズ</v>
          </cell>
          <cell r="C543">
            <v>7700</v>
          </cell>
          <cell r="D543">
            <v>11500</v>
          </cell>
          <cell r="E543">
            <v>13500</v>
          </cell>
          <cell r="F543">
            <v>15500</v>
          </cell>
        </row>
        <row r="544">
          <cell r="A544" t="str">
            <v>LXRBFU-05</v>
          </cell>
          <cell r="B544" t="str">
            <v>　　　　フレコン金具セットシルバー</v>
          </cell>
          <cell r="C544">
            <v>2010</v>
          </cell>
          <cell r="D544">
            <v>3100</v>
          </cell>
          <cell r="E544">
            <v>3600</v>
          </cell>
          <cell r="F544">
            <v>4100</v>
          </cell>
        </row>
        <row r="545">
          <cell r="A545" t="str">
            <v>LXRBFU-06</v>
          </cell>
          <cell r="B545" t="str">
            <v>　　　　フレコン金具セットブロンズ</v>
          </cell>
          <cell r="C545">
            <v>2510</v>
          </cell>
          <cell r="D545">
            <v>3800</v>
          </cell>
          <cell r="E545">
            <v>4550</v>
          </cell>
          <cell r="F545">
            <v>5250</v>
          </cell>
        </row>
        <row r="546">
          <cell r="A546" t="str">
            <v>LXRBFU-07</v>
          </cell>
          <cell r="B546" t="str">
            <v>　　　　連窓部品Aセッ　トシルバー</v>
          </cell>
          <cell r="C546">
            <v>5040</v>
          </cell>
          <cell r="D546">
            <v>7500</v>
          </cell>
          <cell r="E546">
            <v>8600</v>
          </cell>
          <cell r="F546">
            <v>10100</v>
          </cell>
        </row>
        <row r="547">
          <cell r="A547" t="str">
            <v>LXRBFU-08</v>
          </cell>
          <cell r="B547" t="str">
            <v>　　　　連窓部品Aセッ　トブロンズ</v>
          </cell>
          <cell r="C547">
            <v>5360</v>
          </cell>
          <cell r="D547">
            <v>8000</v>
          </cell>
          <cell r="E547">
            <v>9200</v>
          </cell>
          <cell r="F547">
            <v>10600</v>
          </cell>
        </row>
        <row r="548">
          <cell r="A548" t="str">
            <v>LXRBFU-09</v>
          </cell>
          <cell r="B548" t="str">
            <v>　　　　連窓部品Bセッ　トシルバー</v>
          </cell>
          <cell r="C548">
            <v>5340</v>
          </cell>
          <cell r="D548">
            <v>8000</v>
          </cell>
          <cell r="E548">
            <v>9200</v>
          </cell>
          <cell r="F548">
            <v>10600</v>
          </cell>
        </row>
        <row r="549">
          <cell r="A549" t="str">
            <v>LXRBFU-10</v>
          </cell>
          <cell r="B549" t="str">
            <v>　　　　連窓部品Bセッ　トブロンズ</v>
          </cell>
          <cell r="C549">
            <v>5670</v>
          </cell>
          <cell r="D549">
            <v>8500</v>
          </cell>
          <cell r="E549">
            <v>9600</v>
          </cell>
          <cell r="F549">
            <v>11100</v>
          </cell>
        </row>
        <row r="550">
          <cell r="A550" t="str">
            <v>LXIMLS-01</v>
          </cell>
          <cell r="B550" t="str">
            <v>スリム外倒し窓用4点滑車</v>
          </cell>
          <cell r="C550">
            <v>5400</v>
          </cell>
          <cell r="D550">
            <v>8100</v>
          </cell>
          <cell r="E550">
            <v>9200</v>
          </cell>
          <cell r="F550">
            <v>10600</v>
          </cell>
        </row>
        <row r="551">
          <cell r="A551" t="str">
            <v>LXIMLS-02</v>
          </cell>
          <cell r="B551" t="str">
            <v>スリム外倒し窓用4点滑車</v>
          </cell>
          <cell r="C551">
            <v>6050</v>
          </cell>
          <cell r="D551">
            <v>9000</v>
          </cell>
          <cell r="E551">
            <v>10200</v>
          </cell>
          <cell r="F551">
            <v>11700</v>
          </cell>
        </row>
        <row r="552">
          <cell r="A552" t="str">
            <v>LXIMLS-03</v>
          </cell>
          <cell r="B552" t="str">
            <v>スリムフレコンASSYセット</v>
          </cell>
          <cell r="C552">
            <v>2520</v>
          </cell>
          <cell r="D552">
            <v>3800</v>
          </cell>
          <cell r="E552">
            <v>4500</v>
          </cell>
          <cell r="F552">
            <v>5200</v>
          </cell>
        </row>
        <row r="553">
          <cell r="A553" t="str">
            <v>B40363R・L　　各</v>
          </cell>
          <cell r="B553" t="str">
            <v>プッシャーステイ</v>
          </cell>
          <cell r="C553">
            <v>2160</v>
          </cell>
          <cell r="D553">
            <v>3300</v>
          </cell>
          <cell r="E553">
            <v>3700</v>
          </cell>
          <cell r="F553">
            <v>4200</v>
          </cell>
        </row>
        <row r="554">
          <cell r="A554" t="str">
            <v>B40364R・L　　各</v>
          </cell>
          <cell r="B554" t="str">
            <v>プッシャーステイ</v>
          </cell>
          <cell r="C554">
            <v>2160</v>
          </cell>
          <cell r="D554">
            <v>3300</v>
          </cell>
          <cell r="E554">
            <v>3700</v>
          </cell>
          <cell r="F554">
            <v>4200</v>
          </cell>
        </row>
        <row r="555">
          <cell r="A555" t="str">
            <v>B40370R・L　　各</v>
          </cell>
          <cell r="B555" t="str">
            <v>プッシャーステイ</v>
          </cell>
          <cell r="C555">
            <v>2530</v>
          </cell>
          <cell r="D555">
            <v>3800</v>
          </cell>
          <cell r="E555">
            <v>4600</v>
          </cell>
          <cell r="F555">
            <v>5300</v>
          </cell>
        </row>
        <row r="556">
          <cell r="A556" t="str">
            <v>B40371B　R・L　　各</v>
          </cell>
          <cell r="B556" t="str">
            <v>プッシャーステイ</v>
          </cell>
          <cell r="C556">
            <v>2600</v>
          </cell>
          <cell r="D556">
            <v>3900</v>
          </cell>
          <cell r="E556">
            <v>4700</v>
          </cell>
          <cell r="F556">
            <v>5600</v>
          </cell>
        </row>
        <row r="557">
          <cell r="A557"/>
          <cell r="B557" t="str">
            <v>プッシャーステイ</v>
          </cell>
          <cell r="C557"/>
          <cell r="D557"/>
          <cell r="E557"/>
          <cell r="F557"/>
        </row>
        <row r="558">
          <cell r="A558"/>
          <cell r="B558" t="str">
            <v>プッシャーステイ</v>
          </cell>
          <cell r="C558"/>
          <cell r="D558"/>
          <cell r="E558"/>
          <cell r="F558"/>
        </row>
        <row r="559">
          <cell r="A559" t="str">
            <v>TSA80505-AO　</v>
          </cell>
          <cell r="B559" t="str">
            <v>マルチステイA耐蝕向上品　　２か月</v>
          </cell>
          <cell r="C559">
            <v>3983</v>
          </cell>
          <cell r="D559">
            <v>6000</v>
          </cell>
          <cell r="E559">
            <v>7000</v>
          </cell>
          <cell r="F559">
            <v>8000</v>
          </cell>
        </row>
        <row r="560">
          <cell r="A560" t="str">
            <v>TSA80505-BO　</v>
          </cell>
          <cell r="B560" t="str">
            <v>マルチステイA耐蝕向上品　　２か月</v>
          </cell>
          <cell r="C560">
            <v>4032</v>
          </cell>
          <cell r="D560">
            <v>6100</v>
          </cell>
          <cell r="E560">
            <v>7000</v>
          </cell>
          <cell r="F560">
            <v>8000</v>
          </cell>
        </row>
        <row r="561">
          <cell r="A561" t="str">
            <v>TSA80505-CO　</v>
          </cell>
          <cell r="B561" t="str">
            <v>マルチステイA耐蝕向上品　　２か月</v>
          </cell>
          <cell r="C561">
            <v>4356</v>
          </cell>
          <cell r="D561">
            <v>6600</v>
          </cell>
          <cell r="E561">
            <v>7500</v>
          </cell>
          <cell r="F561">
            <v>8500</v>
          </cell>
        </row>
        <row r="562">
          <cell r="A562" t="str">
            <v>TSA80505-DO　</v>
          </cell>
          <cell r="B562" t="str">
            <v>マルチステイA耐蝕向上品　　２か月</v>
          </cell>
          <cell r="C562">
            <v>4748</v>
          </cell>
          <cell r="D562">
            <v>7200</v>
          </cell>
          <cell r="E562">
            <v>8500</v>
          </cell>
          <cell r="F562">
            <v>10000</v>
          </cell>
        </row>
        <row r="563">
          <cell r="A563" t="str">
            <v>TSA80505-EO　</v>
          </cell>
          <cell r="B563" t="str">
            <v>マルチステイA耐蝕向上品　　２か月</v>
          </cell>
          <cell r="C563">
            <v>4970</v>
          </cell>
          <cell r="D563">
            <v>7500</v>
          </cell>
          <cell r="E563">
            <v>8600</v>
          </cell>
          <cell r="F563">
            <v>10000</v>
          </cell>
        </row>
        <row r="564">
          <cell r="A564" t="str">
            <v>TSA80505-FO　</v>
          </cell>
          <cell r="B564" t="str">
            <v>マルチステイA耐蝕向上品　　２か月</v>
          </cell>
          <cell r="C564">
            <v>4137</v>
          </cell>
          <cell r="D564">
            <v>6200</v>
          </cell>
          <cell r="E564">
            <v>7000</v>
          </cell>
          <cell r="F564">
            <v>8000</v>
          </cell>
        </row>
        <row r="565">
          <cell r="A565" t="str">
            <v>TSA80505-MAO　</v>
          </cell>
          <cell r="B565" t="str">
            <v>マルチステイA耐蝕向上品　　２か月</v>
          </cell>
          <cell r="C565">
            <v>3970</v>
          </cell>
          <cell r="D565">
            <v>6000</v>
          </cell>
          <cell r="E565">
            <v>7000</v>
          </cell>
          <cell r="F565">
            <v>8000</v>
          </cell>
        </row>
        <row r="566">
          <cell r="A566" t="str">
            <v>TSA80505-MBO　</v>
          </cell>
          <cell r="B566" t="str">
            <v>マルチステイA耐蝕向上品　　２か月</v>
          </cell>
          <cell r="C566">
            <v>4015</v>
          </cell>
          <cell r="D566">
            <v>6100</v>
          </cell>
          <cell r="E566">
            <v>7000</v>
          </cell>
          <cell r="F566">
            <v>8000</v>
          </cell>
        </row>
        <row r="567">
          <cell r="A567" t="str">
            <v>TSA80505-MCO　</v>
          </cell>
          <cell r="B567" t="str">
            <v>マルチステイA耐蝕向上品　　２か月</v>
          </cell>
          <cell r="C567">
            <v>4060</v>
          </cell>
          <cell r="D567">
            <v>6200</v>
          </cell>
          <cell r="E567">
            <v>7000</v>
          </cell>
          <cell r="F567">
            <v>8000</v>
          </cell>
        </row>
        <row r="568">
          <cell r="A568" t="str">
            <v>TSB80505-AO　</v>
          </cell>
          <cell r="B568" t="str">
            <v>マルチステイA耐蝕向上品　　２か月</v>
          </cell>
          <cell r="C568">
            <v>4295</v>
          </cell>
          <cell r="D568">
            <v>6500</v>
          </cell>
          <cell r="E568">
            <v>7500</v>
          </cell>
          <cell r="F568">
            <v>8500</v>
          </cell>
        </row>
        <row r="569">
          <cell r="A569" t="str">
            <v>TSB80505-BO　</v>
          </cell>
          <cell r="B569" t="str">
            <v>マルチステイA耐蝕向上品　　２か月</v>
          </cell>
          <cell r="C569">
            <v>4344</v>
          </cell>
          <cell r="D569">
            <v>6600</v>
          </cell>
          <cell r="E569">
            <v>7500</v>
          </cell>
          <cell r="F569">
            <v>8500</v>
          </cell>
        </row>
        <row r="570">
          <cell r="A570" t="str">
            <v>TSB80505-CO　</v>
          </cell>
          <cell r="B570" t="str">
            <v>マルチステイA耐蝕向上品　　２か月</v>
          </cell>
          <cell r="C570">
            <v>4763</v>
          </cell>
          <cell r="D570">
            <v>7200</v>
          </cell>
          <cell r="E570">
            <v>8500</v>
          </cell>
          <cell r="F570">
            <v>10000</v>
          </cell>
        </row>
        <row r="571">
          <cell r="A571" t="str">
            <v>TSB80505-DO　</v>
          </cell>
          <cell r="B571" t="str">
            <v>マルチステイA耐蝕向上品　　２か月</v>
          </cell>
          <cell r="C571">
            <v>5092</v>
          </cell>
          <cell r="D571">
            <v>7700</v>
          </cell>
          <cell r="E571">
            <v>9000</v>
          </cell>
          <cell r="F571">
            <v>10500</v>
          </cell>
        </row>
        <row r="572">
          <cell r="A572" t="str">
            <v>TSB80505-EO　</v>
          </cell>
          <cell r="B572" t="str">
            <v>マルチステイA耐蝕向上品　　２か月</v>
          </cell>
          <cell r="C572">
            <v>5362</v>
          </cell>
          <cell r="D572">
            <v>8100</v>
          </cell>
          <cell r="E572">
            <v>9300</v>
          </cell>
          <cell r="F572">
            <v>11000</v>
          </cell>
        </row>
        <row r="573">
          <cell r="A573" t="str">
            <v>TSB80505-FO　</v>
          </cell>
          <cell r="B573" t="str">
            <v>マルチステイA耐蝕向上品　　２か月</v>
          </cell>
          <cell r="C573">
            <v>4586</v>
          </cell>
          <cell r="D573">
            <v>7000</v>
          </cell>
          <cell r="E573">
            <v>8000</v>
          </cell>
          <cell r="F573">
            <v>9200</v>
          </cell>
        </row>
        <row r="574">
          <cell r="A574" t="str">
            <v>TSB80505-MAO　</v>
          </cell>
          <cell r="B574" t="str">
            <v>マルチステイA耐蝕向上品　　２か月</v>
          </cell>
          <cell r="C574">
            <v>4324</v>
          </cell>
          <cell r="D574">
            <v>6500</v>
          </cell>
          <cell r="E574">
            <v>7500</v>
          </cell>
          <cell r="F574">
            <v>8500</v>
          </cell>
        </row>
        <row r="575">
          <cell r="A575" t="str">
            <v>TSB80505-MBO　</v>
          </cell>
          <cell r="B575" t="str">
            <v>マルチステイA耐蝕向上品　　２か月</v>
          </cell>
          <cell r="C575">
            <v>4391</v>
          </cell>
          <cell r="D575">
            <v>6600</v>
          </cell>
          <cell r="E575">
            <v>7500</v>
          </cell>
          <cell r="F575">
            <v>8500</v>
          </cell>
        </row>
        <row r="576">
          <cell r="A576" t="str">
            <v>TSB80505-MCO　</v>
          </cell>
          <cell r="B576" t="str">
            <v>マルチステイA耐蝕向上品　　２か月</v>
          </cell>
          <cell r="C576">
            <v>4436</v>
          </cell>
          <cell r="D576">
            <v>7000</v>
          </cell>
          <cell r="E576">
            <v>8000</v>
          </cell>
          <cell r="F576">
            <v>9200</v>
          </cell>
        </row>
        <row r="577">
          <cell r="A577" t="str">
            <v>GT08-010SK-08</v>
          </cell>
          <cell r="B577" t="str">
            <v>フレコンアッシ－Φ9　L＝600</v>
          </cell>
          <cell r="C577">
            <v>540</v>
          </cell>
          <cell r="D577">
            <v>800</v>
          </cell>
          <cell r="E577">
            <v>1000</v>
          </cell>
          <cell r="F577">
            <v>1200</v>
          </cell>
        </row>
        <row r="578">
          <cell r="A578" t="str">
            <v>SLA80010-A</v>
          </cell>
          <cell r="B578" t="str">
            <v>ケ－ブルブラケツト</v>
          </cell>
          <cell r="C578">
            <v>151</v>
          </cell>
          <cell r="D578">
            <v>250</v>
          </cell>
          <cell r="E578">
            <v>300</v>
          </cell>
          <cell r="F578">
            <v>350</v>
          </cell>
        </row>
        <row r="579">
          <cell r="A579" t="str">
            <v>SLA80306-A</v>
          </cell>
          <cell r="B579" t="str">
            <v>障子側ブラケツトＡ</v>
          </cell>
          <cell r="C579">
            <v>101</v>
          </cell>
          <cell r="D579">
            <v>150</v>
          </cell>
          <cell r="E579">
            <v>200</v>
          </cell>
          <cell r="F579">
            <v>250</v>
          </cell>
        </row>
        <row r="580">
          <cell r="A580" t="str">
            <v>SLA80307-A</v>
          </cell>
          <cell r="B580" t="str">
            <v>枠側ブラケツトＡ</v>
          </cell>
          <cell r="C580">
            <v>106</v>
          </cell>
          <cell r="D580">
            <v>150</v>
          </cell>
          <cell r="E580">
            <v>200</v>
          </cell>
          <cell r="F580">
            <v>250</v>
          </cell>
        </row>
        <row r="581">
          <cell r="A581" t="str">
            <v>SLA80307-B</v>
          </cell>
          <cell r="B581" t="str">
            <v>枠側ブラケツトＢ</v>
          </cell>
          <cell r="C581">
            <v>106</v>
          </cell>
          <cell r="D581">
            <v>150</v>
          </cell>
          <cell r="E581">
            <v>200</v>
          </cell>
          <cell r="F581">
            <v>250</v>
          </cell>
        </row>
        <row r="582">
          <cell r="A582" t="str">
            <v>SLA80606-H</v>
          </cell>
          <cell r="B582" t="str">
            <v>ブラケットＨ</v>
          </cell>
          <cell r="C582">
            <v>129</v>
          </cell>
          <cell r="D582">
            <v>200</v>
          </cell>
          <cell r="E582">
            <v>250</v>
          </cell>
          <cell r="F582">
            <v>300</v>
          </cell>
        </row>
        <row r="583">
          <cell r="A583" t="str">
            <v>SLA80607-C</v>
          </cell>
          <cell r="B583" t="str">
            <v>ブラケットＣ</v>
          </cell>
          <cell r="C583">
            <v>302</v>
          </cell>
          <cell r="D583">
            <v>450</v>
          </cell>
          <cell r="E583">
            <v>500</v>
          </cell>
          <cell r="F583">
            <v>600</v>
          </cell>
        </row>
        <row r="584">
          <cell r="A584" t="str">
            <v>SLA80607-D</v>
          </cell>
          <cell r="B584" t="str">
            <v>枠側ブラケット用スペーサ</v>
          </cell>
          <cell r="C584">
            <v>101</v>
          </cell>
          <cell r="D584">
            <v>200</v>
          </cell>
          <cell r="E584">
            <v>250</v>
          </cell>
          <cell r="F584">
            <v>250</v>
          </cell>
        </row>
        <row r="585">
          <cell r="A585" t="str">
            <v>SLB80010-A</v>
          </cell>
          <cell r="B585" t="str">
            <v>ケ－ブルブラケツト１１ブロンズ</v>
          </cell>
          <cell r="C585">
            <v>151</v>
          </cell>
          <cell r="D585">
            <v>250</v>
          </cell>
          <cell r="E585">
            <v>300</v>
          </cell>
          <cell r="F585">
            <v>350</v>
          </cell>
        </row>
        <row r="586">
          <cell r="A586" t="str">
            <v>SLB80306-A</v>
          </cell>
          <cell r="B586" t="str">
            <v>障子側ブラケツトＡブロンズ</v>
          </cell>
          <cell r="C586">
            <v>101</v>
          </cell>
          <cell r="D586">
            <v>150</v>
          </cell>
          <cell r="E586">
            <v>200</v>
          </cell>
          <cell r="F586">
            <v>250</v>
          </cell>
        </row>
        <row r="587">
          <cell r="A587" t="str">
            <v>SLB80307-A</v>
          </cell>
          <cell r="B587" t="str">
            <v>枠側ブラケツトＡブロンズ</v>
          </cell>
          <cell r="C587">
            <v>106</v>
          </cell>
          <cell r="D587">
            <v>150</v>
          </cell>
          <cell r="E587">
            <v>200</v>
          </cell>
          <cell r="F587">
            <v>250</v>
          </cell>
        </row>
        <row r="588">
          <cell r="A588" t="str">
            <v>SLB80307-B</v>
          </cell>
          <cell r="B588" t="str">
            <v>枠側ブラケツトＢブロンズ</v>
          </cell>
          <cell r="C588">
            <v>106</v>
          </cell>
          <cell r="D588">
            <v>150</v>
          </cell>
          <cell r="E588">
            <v>200</v>
          </cell>
          <cell r="F588">
            <v>250</v>
          </cell>
        </row>
        <row r="589">
          <cell r="A589" t="str">
            <v>SLA25007-A</v>
          </cell>
          <cell r="B589" t="str">
            <v>コネクタ－取付金具Ａ</v>
          </cell>
          <cell r="C589">
            <v>463</v>
          </cell>
          <cell r="D589">
            <v>700</v>
          </cell>
          <cell r="E589">
            <v>800</v>
          </cell>
          <cell r="F589">
            <v>900</v>
          </cell>
        </row>
        <row r="590">
          <cell r="A590" t="str">
            <v>SLA25007-B</v>
          </cell>
          <cell r="B590" t="str">
            <v>コネクタ－取付金具Ｂ</v>
          </cell>
          <cell r="C590">
            <v>431</v>
          </cell>
          <cell r="D590">
            <v>700</v>
          </cell>
          <cell r="E590">
            <v>800</v>
          </cell>
          <cell r="F590">
            <v>900</v>
          </cell>
        </row>
        <row r="591">
          <cell r="A591" t="str">
            <v>SLA25007-C</v>
          </cell>
          <cell r="B591" t="str">
            <v>コネクタ－取付金具Ｃ</v>
          </cell>
          <cell r="C591">
            <v>455</v>
          </cell>
          <cell r="D591">
            <v>700</v>
          </cell>
          <cell r="E591">
            <v>800</v>
          </cell>
          <cell r="F591">
            <v>900</v>
          </cell>
        </row>
        <row r="592">
          <cell r="A592" t="str">
            <v>SLA25108-A</v>
          </cell>
          <cell r="B592" t="str">
            <v>内倒しブラケツトＡ</v>
          </cell>
          <cell r="C592">
            <v>431</v>
          </cell>
          <cell r="D592">
            <v>1100</v>
          </cell>
          <cell r="E592">
            <v>1300</v>
          </cell>
          <cell r="F592">
            <v>1400</v>
          </cell>
        </row>
        <row r="593">
          <cell r="A593" t="str">
            <v>SLA25108-B</v>
          </cell>
          <cell r="B593" t="str">
            <v>内倒しブラケツトＢ</v>
          </cell>
          <cell r="C593">
            <v>718</v>
          </cell>
          <cell r="D593">
            <v>1100</v>
          </cell>
          <cell r="E593">
            <v>1300</v>
          </cell>
          <cell r="F593">
            <v>1400</v>
          </cell>
        </row>
        <row r="594">
          <cell r="A594" t="str">
            <v>SLA30152</v>
          </cell>
          <cell r="B594" t="str">
            <v>ケ－ス取付金具</v>
          </cell>
          <cell r="C594">
            <v>336</v>
          </cell>
          <cell r="D594">
            <v>550</v>
          </cell>
          <cell r="E594">
            <v>650</v>
          </cell>
          <cell r="F594">
            <v>750</v>
          </cell>
        </row>
        <row r="595">
          <cell r="A595" t="str">
            <v>SLB25007-A</v>
          </cell>
          <cell r="B595" t="str">
            <v>コネクタ－取付金具Ａブロンズ</v>
          </cell>
          <cell r="C595">
            <v>207</v>
          </cell>
          <cell r="D595">
            <v>350</v>
          </cell>
          <cell r="E595">
            <v>400</v>
          </cell>
          <cell r="F595">
            <v>500</v>
          </cell>
        </row>
        <row r="596">
          <cell r="A596" t="str">
            <v>SLB25007-B</v>
          </cell>
          <cell r="B596" t="str">
            <v>コネクタ－取付金具Ｂブロンズ</v>
          </cell>
          <cell r="C596">
            <v>179</v>
          </cell>
          <cell r="D596">
            <v>270</v>
          </cell>
          <cell r="E596">
            <v>300</v>
          </cell>
          <cell r="F596">
            <v>350</v>
          </cell>
        </row>
        <row r="597">
          <cell r="A597" t="str">
            <v>SLB25007-C</v>
          </cell>
          <cell r="B597" t="str">
            <v>コネクタ－取付金具Ｃブロンズ</v>
          </cell>
          <cell r="C597">
            <v>190</v>
          </cell>
          <cell r="D597">
            <v>300</v>
          </cell>
          <cell r="E597">
            <v>350</v>
          </cell>
          <cell r="F597">
            <v>400</v>
          </cell>
        </row>
        <row r="598">
          <cell r="A598" t="str">
            <v>SLB25108-A</v>
          </cell>
          <cell r="B598" t="str">
            <v>内倒しブラケツトＡブロンズ</v>
          </cell>
          <cell r="C598">
            <v>718</v>
          </cell>
          <cell r="D598">
            <v>1100</v>
          </cell>
          <cell r="E598">
            <v>1300</v>
          </cell>
          <cell r="F598">
            <v>1400</v>
          </cell>
        </row>
        <row r="599">
          <cell r="A599" t="str">
            <v>SLB25108-B</v>
          </cell>
          <cell r="B599" t="str">
            <v>内倒しブラケツトＢブロンズ</v>
          </cell>
          <cell r="C599">
            <v>718</v>
          </cell>
          <cell r="D599">
            <v>1100</v>
          </cell>
          <cell r="E599">
            <v>1300</v>
          </cell>
          <cell r="F599">
            <v>1400</v>
          </cell>
        </row>
        <row r="600">
          <cell r="A600" t="str">
            <v>SLB30152</v>
          </cell>
          <cell r="B600" t="str">
            <v>ケ－ス取付金具ブロンズ</v>
          </cell>
          <cell r="C600">
            <v>347</v>
          </cell>
          <cell r="D600">
            <v>550</v>
          </cell>
          <cell r="E600">
            <v>650</v>
          </cell>
          <cell r="F600">
            <v>750</v>
          </cell>
        </row>
        <row r="601">
          <cell r="A601" t="str">
            <v>K08-2902</v>
          </cell>
          <cell r="B601" t="str">
            <v>六角軸Ｂ</v>
          </cell>
          <cell r="C601">
            <v>347</v>
          </cell>
          <cell r="D601">
            <v>550</v>
          </cell>
          <cell r="E601">
            <v>600</v>
          </cell>
          <cell r="F601">
            <v>650</v>
          </cell>
        </row>
        <row r="602">
          <cell r="A602" t="str">
            <v>K08-2903</v>
          </cell>
          <cell r="B602" t="str">
            <v>六角軸Ｌ＝１００</v>
          </cell>
          <cell r="C602">
            <v>330</v>
          </cell>
          <cell r="D602">
            <v>500</v>
          </cell>
          <cell r="E602">
            <v>550</v>
          </cell>
          <cell r="F602">
            <v>600</v>
          </cell>
        </row>
        <row r="603">
          <cell r="A603" t="str">
            <v>K08-5103</v>
          </cell>
          <cell r="B603" t="str">
            <v>スベリ材</v>
          </cell>
          <cell r="C603">
            <v>392</v>
          </cell>
          <cell r="D603">
            <v>600</v>
          </cell>
          <cell r="E603">
            <v>700</v>
          </cell>
          <cell r="F603">
            <v>800</v>
          </cell>
        </row>
        <row r="604">
          <cell r="A604" t="str">
            <v>SLA21050-A</v>
          </cell>
          <cell r="B604" t="str">
            <v>コネクターセット（三協・ブリーゼ）</v>
          </cell>
          <cell r="C604">
            <v>4962</v>
          </cell>
          <cell r="D604">
            <v>7500</v>
          </cell>
          <cell r="E604">
            <v>9000</v>
          </cell>
          <cell r="F604">
            <v>10000</v>
          </cell>
        </row>
        <row r="605">
          <cell r="A605" t="str">
            <v>SLB21050-A</v>
          </cell>
          <cell r="B605" t="str">
            <v>コネクターセットブロンズ（三協・ブリーゼ）</v>
          </cell>
          <cell r="C605">
            <v>4962</v>
          </cell>
          <cell r="D605">
            <v>7500</v>
          </cell>
          <cell r="E605">
            <v>9000</v>
          </cell>
          <cell r="F605">
            <v>10000</v>
          </cell>
        </row>
        <row r="606">
          <cell r="A606" t="str">
            <v>B40123C</v>
          </cell>
          <cell r="B606" t="str">
            <v>フレコン滑車Ｃ</v>
          </cell>
          <cell r="C606">
            <v>974</v>
          </cell>
          <cell r="D606">
            <v>1500</v>
          </cell>
          <cell r="E606">
            <v>1700</v>
          </cell>
          <cell r="F606">
            <v>2000</v>
          </cell>
        </row>
        <row r="607">
          <cell r="A607" t="str">
            <v>B40225AL</v>
          </cell>
          <cell r="B607" t="str">
            <v>フレコン滑車ＣＬ</v>
          </cell>
          <cell r="C607">
            <v>2240</v>
          </cell>
          <cell r="D607">
            <v>3400</v>
          </cell>
          <cell r="E607">
            <v>3900</v>
          </cell>
          <cell r="F607">
            <v>4300</v>
          </cell>
        </row>
        <row r="608">
          <cell r="A608" t="str">
            <v>B40225AR</v>
          </cell>
          <cell r="B608" t="str">
            <v>フレコン滑車ＣＲ</v>
          </cell>
          <cell r="C608">
            <v>2240</v>
          </cell>
          <cell r="D608">
            <v>3400</v>
          </cell>
          <cell r="E608">
            <v>3900</v>
          </cell>
          <cell r="F608">
            <v>4300</v>
          </cell>
        </row>
        <row r="609">
          <cell r="A609" t="str">
            <v>B40227A</v>
          </cell>
          <cell r="B609" t="str">
            <v>枠滑車ＳＢ</v>
          </cell>
          <cell r="C609">
            <v>665</v>
          </cell>
          <cell r="D609">
            <v>1000</v>
          </cell>
          <cell r="E609">
            <v>1200</v>
          </cell>
          <cell r="F609">
            <v>1400</v>
          </cell>
        </row>
        <row r="610">
          <cell r="A610" t="str">
            <v>B40228A</v>
          </cell>
          <cell r="B610" t="str">
            <v>障子滑車ＳＡ</v>
          </cell>
          <cell r="C610">
            <v>661</v>
          </cell>
          <cell r="D610">
            <v>1000</v>
          </cell>
          <cell r="E610">
            <v>1200</v>
          </cell>
          <cell r="F610">
            <v>1400</v>
          </cell>
        </row>
        <row r="611">
          <cell r="A611" t="str">
            <v>B40232AL</v>
          </cell>
          <cell r="B611" t="str">
            <v>内抜き滑車Ｌ</v>
          </cell>
          <cell r="C611">
            <v>1568</v>
          </cell>
          <cell r="D611">
            <v>2400</v>
          </cell>
          <cell r="E611">
            <v>2800</v>
          </cell>
          <cell r="F611">
            <v>3000</v>
          </cell>
        </row>
        <row r="612">
          <cell r="A612" t="str">
            <v>B40232AR</v>
          </cell>
          <cell r="B612" t="str">
            <v>内抜き滑車Ｒ</v>
          </cell>
          <cell r="C612">
            <v>1568</v>
          </cell>
          <cell r="D612">
            <v>2400</v>
          </cell>
          <cell r="E612">
            <v>2800</v>
          </cell>
          <cell r="F612">
            <v>3000</v>
          </cell>
        </row>
        <row r="613">
          <cell r="A613" t="str">
            <v>B40233A</v>
          </cell>
          <cell r="B613" t="str">
            <v>フレコン滑車Ｂ</v>
          </cell>
          <cell r="C613">
            <v>2016</v>
          </cell>
          <cell r="D613">
            <v>3000</v>
          </cell>
          <cell r="E613">
            <v>3500</v>
          </cell>
          <cell r="F613">
            <v>4000</v>
          </cell>
        </row>
        <row r="614">
          <cell r="A614" t="str">
            <v>B40234A</v>
          </cell>
          <cell r="B614" t="str">
            <v>障子滑車ＳＣ</v>
          </cell>
          <cell r="C614">
            <v>650</v>
          </cell>
          <cell r="D614">
            <v>1000</v>
          </cell>
          <cell r="E614">
            <v>1200</v>
          </cell>
          <cell r="F614">
            <v>1400</v>
          </cell>
        </row>
        <row r="615">
          <cell r="A615" t="str">
            <v>B40214A</v>
          </cell>
          <cell r="B615" t="str">
            <v>ケーシングキャップ</v>
          </cell>
          <cell r="C615">
            <v>504</v>
          </cell>
          <cell r="D615">
            <v>750</v>
          </cell>
          <cell r="E615">
            <v>900</v>
          </cell>
          <cell r="F615">
            <v>1000</v>
          </cell>
        </row>
        <row r="616">
          <cell r="A616" t="str">
            <v>B40214B</v>
          </cell>
          <cell r="B616" t="str">
            <v>ケーシングキャップ</v>
          </cell>
          <cell r="C616">
            <v>336</v>
          </cell>
          <cell r="D616">
            <v>550</v>
          </cell>
          <cell r="E616">
            <v>650</v>
          </cell>
          <cell r="F616">
            <v>800</v>
          </cell>
        </row>
        <row r="617">
          <cell r="A617" t="str">
            <v>C1S</v>
          </cell>
          <cell r="B617" t="str">
            <v>明治オーニング　　　　　　　納期　２週間</v>
          </cell>
          <cell r="C617">
            <v>5100</v>
          </cell>
          <cell r="D617">
            <v>8000</v>
          </cell>
          <cell r="E617">
            <v>10000</v>
          </cell>
          <cell r="F617">
            <v>12000</v>
          </cell>
        </row>
        <row r="618">
          <cell r="A618" t="str">
            <v>C1S　　　　　ブロンズ</v>
          </cell>
          <cell r="B618"/>
          <cell r="C618">
            <v>6200</v>
          </cell>
          <cell r="D618">
            <v>9500</v>
          </cell>
          <cell r="E618">
            <v>10500</v>
          </cell>
          <cell r="F618">
            <v>12000</v>
          </cell>
        </row>
        <row r="619">
          <cell r="A619" t="str">
            <v>C1SW-2A</v>
          </cell>
          <cell r="B619"/>
          <cell r="C619">
            <v>5900</v>
          </cell>
          <cell r="D619">
            <v>9000</v>
          </cell>
          <cell r="E619">
            <v>10000</v>
          </cell>
          <cell r="F619">
            <v>12000</v>
          </cell>
        </row>
        <row r="620">
          <cell r="A620" t="str">
            <v>C1SW-2A　ブロンズ</v>
          </cell>
          <cell r="B620"/>
          <cell r="C620">
            <v>7000</v>
          </cell>
          <cell r="D620">
            <v>10500</v>
          </cell>
          <cell r="E620">
            <v>12000</v>
          </cell>
          <cell r="F620">
            <v>13000</v>
          </cell>
        </row>
        <row r="621">
          <cell r="A621" t="str">
            <v>C2SW-2B</v>
          </cell>
          <cell r="B621" t="str">
            <v>明治オーニング　　　　　　　納期　２週間</v>
          </cell>
          <cell r="C621">
            <v>6000</v>
          </cell>
          <cell r="D621">
            <v>9000</v>
          </cell>
          <cell r="E621">
            <v>10000</v>
          </cell>
          <cell r="F621">
            <v>12000</v>
          </cell>
        </row>
        <row r="622">
          <cell r="A622" t="str">
            <v>C2SW-2B　ブロンズ</v>
          </cell>
          <cell r="B622"/>
          <cell r="C622">
            <v>7000</v>
          </cell>
          <cell r="D622">
            <v>10500</v>
          </cell>
          <cell r="E622">
            <v>12000</v>
          </cell>
          <cell r="F622">
            <v>13000</v>
          </cell>
        </row>
        <row r="623">
          <cell r="A623" t="str">
            <v>SLA10202</v>
          </cell>
          <cell r="B623" t="str">
            <v>解除ボックス</v>
          </cell>
          <cell r="C623">
            <v>1602</v>
          </cell>
          <cell r="D623">
            <v>2400</v>
          </cell>
          <cell r="E623">
            <v>2600</v>
          </cell>
          <cell r="F623">
            <v>2900</v>
          </cell>
        </row>
        <row r="624">
          <cell r="A624" t="str">
            <v>SLA10209-B</v>
          </cell>
          <cell r="B624" t="str">
            <v>引き手アツセンブリ－</v>
          </cell>
          <cell r="C624">
            <v>885</v>
          </cell>
          <cell r="D624">
            <v>1500</v>
          </cell>
          <cell r="E624">
            <v>2000</v>
          </cell>
          <cell r="F624">
            <v>2500</v>
          </cell>
        </row>
        <row r="625">
          <cell r="A625" t="str">
            <v>SLA11201-18A</v>
          </cell>
          <cell r="B625" t="str">
            <v>ラツチ用ステイビスセット</v>
          </cell>
          <cell r="C625">
            <v>213</v>
          </cell>
          <cell r="D625">
            <v>350</v>
          </cell>
          <cell r="E625">
            <v>400</v>
          </cell>
          <cell r="F625">
            <v>500</v>
          </cell>
        </row>
        <row r="626">
          <cell r="A626" t="str">
            <v>SLA11201-A-100</v>
          </cell>
          <cell r="B626" t="str">
            <v>ラッチ用ステイＡ１５ﾊﾟｲ(ステイのみ)</v>
          </cell>
          <cell r="C626">
            <v>986</v>
          </cell>
          <cell r="D626">
            <v>1500</v>
          </cell>
          <cell r="E626">
            <v>1700</v>
          </cell>
          <cell r="F626">
            <v>1900</v>
          </cell>
        </row>
        <row r="627">
          <cell r="A627" t="str">
            <v>SLA11201-B-100</v>
          </cell>
          <cell r="B627" t="str">
            <v>ラッチ用ステイＢ１５パイ(ステイのみ)</v>
          </cell>
          <cell r="C627">
            <v>1036</v>
          </cell>
          <cell r="D627">
            <v>2000</v>
          </cell>
          <cell r="E627">
            <v>2500</v>
          </cell>
          <cell r="F627">
            <v>3000</v>
          </cell>
        </row>
        <row r="628">
          <cell r="A628" t="str">
            <v>SLA11201-D-100</v>
          </cell>
          <cell r="B628" t="str">
            <v>ラツチ用ステイＤ１５パイ(ステイのみ)</v>
          </cell>
          <cell r="C628">
            <v>1159</v>
          </cell>
          <cell r="D628">
            <v>2000</v>
          </cell>
          <cell r="E628">
            <v>2500</v>
          </cell>
          <cell r="F628">
            <v>3000</v>
          </cell>
        </row>
        <row r="629">
          <cell r="A629" t="str">
            <v>SLA11505-A</v>
          </cell>
          <cell r="B629" t="str">
            <v>１５パイ　ラッチヨウステイＡ</v>
          </cell>
          <cell r="C629">
            <v>1714</v>
          </cell>
          <cell r="D629">
            <v>2600</v>
          </cell>
          <cell r="E629">
            <v>2900</v>
          </cell>
          <cell r="F629">
            <v>3200</v>
          </cell>
        </row>
        <row r="630">
          <cell r="A630" t="str">
            <v>SLA11505-B</v>
          </cell>
          <cell r="B630" t="str">
            <v>１５パイ　ラッチヨウステイＢ</v>
          </cell>
          <cell r="C630">
            <v>1763</v>
          </cell>
          <cell r="D630">
            <v>2700</v>
          </cell>
          <cell r="E630">
            <v>3000</v>
          </cell>
          <cell r="F630">
            <v>3300</v>
          </cell>
        </row>
        <row r="631">
          <cell r="A631" t="str">
            <v>SLA11505-C</v>
          </cell>
          <cell r="B631" t="str">
            <v>１５パイ　ラッチヨウステイＣ</v>
          </cell>
          <cell r="C631">
            <v>1811</v>
          </cell>
          <cell r="D631">
            <v>2700</v>
          </cell>
          <cell r="E631">
            <v>3000</v>
          </cell>
          <cell r="F631">
            <v>3300</v>
          </cell>
        </row>
        <row r="632">
          <cell r="A632" t="str">
            <v>SLA11505-D</v>
          </cell>
          <cell r="B632" t="str">
            <v>１５パイ　ラッチヨウステイＤ</v>
          </cell>
          <cell r="C632">
            <v>1851</v>
          </cell>
          <cell r="D632">
            <v>2800</v>
          </cell>
          <cell r="E632">
            <v>3100</v>
          </cell>
          <cell r="F632">
            <v>3400</v>
          </cell>
        </row>
        <row r="633">
          <cell r="A633" t="str">
            <v>SLA11505-E</v>
          </cell>
          <cell r="B633" t="str">
            <v>１５パイ　ラッチヨウステイＥ</v>
          </cell>
          <cell r="C633">
            <v>1851</v>
          </cell>
          <cell r="D633">
            <v>2800</v>
          </cell>
          <cell r="E633">
            <v>3100</v>
          </cell>
          <cell r="F633">
            <v>3400</v>
          </cell>
        </row>
        <row r="634">
          <cell r="A634" t="str">
            <v>SLA11505-F</v>
          </cell>
          <cell r="B634" t="str">
            <v>１５パイ　ラッチヨウステイＦ</v>
          </cell>
          <cell r="C634">
            <v>1827</v>
          </cell>
          <cell r="D634">
            <v>2800</v>
          </cell>
          <cell r="E634">
            <v>3100</v>
          </cell>
          <cell r="F634">
            <v>3400</v>
          </cell>
        </row>
        <row r="635">
          <cell r="A635" t="str">
            <v>SLA11505-G</v>
          </cell>
          <cell r="B635" t="str">
            <v>１５パイ　ラッチヨウスティＧ</v>
          </cell>
          <cell r="C635">
            <v>1827</v>
          </cell>
          <cell r="D635">
            <v>2800</v>
          </cell>
          <cell r="E635">
            <v>3100</v>
          </cell>
          <cell r="F635">
            <v>3400</v>
          </cell>
        </row>
        <row r="636">
          <cell r="A636" t="str">
            <v>SLB11505-A</v>
          </cell>
          <cell r="B636" t="str">
            <v>１５パイ　ラッチヨウスティＡブロンズ</v>
          </cell>
          <cell r="C636">
            <v>1714</v>
          </cell>
          <cell r="D636">
            <v>2600</v>
          </cell>
          <cell r="E636">
            <v>2900</v>
          </cell>
          <cell r="F636">
            <v>3200</v>
          </cell>
        </row>
        <row r="637">
          <cell r="A637" t="str">
            <v>SLB11505-B</v>
          </cell>
          <cell r="B637" t="str">
            <v>１５パイ　ラッチヨウステイＢブロンズ</v>
          </cell>
          <cell r="C637">
            <v>1763</v>
          </cell>
          <cell r="D637">
            <v>2700</v>
          </cell>
          <cell r="E637">
            <v>3000</v>
          </cell>
          <cell r="F637">
            <v>3300</v>
          </cell>
        </row>
        <row r="638">
          <cell r="A638" t="str">
            <v>SLB11505-C</v>
          </cell>
          <cell r="B638" t="str">
            <v>１５パイラッチ用ステイＣブロンズ</v>
          </cell>
          <cell r="C638">
            <v>1811</v>
          </cell>
          <cell r="D638">
            <v>2700</v>
          </cell>
          <cell r="E638">
            <v>3000</v>
          </cell>
          <cell r="F638">
            <v>3300</v>
          </cell>
        </row>
        <row r="639">
          <cell r="A639" t="str">
            <v>SLB11505-D</v>
          </cell>
          <cell r="B639" t="str">
            <v>１５パイ　ラッチヨウステイブロンズ</v>
          </cell>
          <cell r="C639">
            <v>1851</v>
          </cell>
          <cell r="D639">
            <v>2800</v>
          </cell>
          <cell r="E639">
            <v>3100</v>
          </cell>
          <cell r="F639">
            <v>3400</v>
          </cell>
        </row>
        <row r="640">
          <cell r="A640" t="str">
            <v>SLB11505-E</v>
          </cell>
          <cell r="B640" t="str">
            <v>１５パイラッチヨウステイＥブロンズ</v>
          </cell>
          <cell r="C640">
            <v>1851</v>
          </cell>
          <cell r="D640">
            <v>2800</v>
          </cell>
          <cell r="E640">
            <v>3100</v>
          </cell>
          <cell r="F640">
            <v>3400</v>
          </cell>
        </row>
        <row r="641">
          <cell r="A641" t="str">
            <v>SLB11505-F</v>
          </cell>
          <cell r="B641" t="str">
            <v>１５パイラッチヨウステイＦ ブロンズ</v>
          </cell>
          <cell r="C641">
            <v>1827</v>
          </cell>
          <cell r="D641">
            <v>2800</v>
          </cell>
          <cell r="E641">
            <v>3100</v>
          </cell>
          <cell r="F641">
            <v>3400</v>
          </cell>
        </row>
        <row r="642">
          <cell r="A642" t="str">
            <v>SLB11505-G</v>
          </cell>
          <cell r="B642" t="str">
            <v>１５パイラッチヨウステイＧブロンズ</v>
          </cell>
          <cell r="C642">
            <v>1827</v>
          </cell>
          <cell r="D642">
            <v>2800</v>
          </cell>
          <cell r="E642">
            <v>3100</v>
          </cell>
          <cell r="F642">
            <v>3400</v>
          </cell>
        </row>
        <row r="643">
          <cell r="A643" t="str">
            <v>SLA121-A</v>
          </cell>
          <cell r="B643" t="str">
            <v>15パイオイルスティA</v>
          </cell>
          <cell r="C643">
            <v>1500</v>
          </cell>
          <cell r="D643">
            <v>2300</v>
          </cell>
          <cell r="E643">
            <v>2500</v>
          </cell>
          <cell r="F643">
            <v>2800</v>
          </cell>
        </row>
        <row r="644">
          <cell r="A644" t="str">
            <v>SLA121-B</v>
          </cell>
          <cell r="B644" t="str">
            <v>15パイオイルスティＢ</v>
          </cell>
          <cell r="C644">
            <v>1605</v>
          </cell>
          <cell r="D644">
            <v>2400</v>
          </cell>
          <cell r="E644">
            <v>2700</v>
          </cell>
          <cell r="F644">
            <v>3000</v>
          </cell>
        </row>
        <row r="645">
          <cell r="A645" t="str">
            <v>SLA121-C</v>
          </cell>
          <cell r="B645" t="str">
            <v>15パイオイルスティC</v>
          </cell>
          <cell r="C645">
            <v>1696</v>
          </cell>
          <cell r="D645">
            <v>2600</v>
          </cell>
          <cell r="E645">
            <v>2900</v>
          </cell>
          <cell r="F645">
            <v>3200</v>
          </cell>
        </row>
        <row r="646">
          <cell r="A646" t="str">
            <v>SLA121-D</v>
          </cell>
          <cell r="B646" t="str">
            <v>15パイオイルスティD</v>
          </cell>
          <cell r="C646">
            <v>1548</v>
          </cell>
          <cell r="D646">
            <v>2400</v>
          </cell>
          <cell r="E646">
            <v>2700</v>
          </cell>
          <cell r="F646">
            <v>3000</v>
          </cell>
        </row>
        <row r="647">
          <cell r="A647" t="str">
            <v>SLA121-G</v>
          </cell>
          <cell r="B647" t="str">
            <v>15パイオイルスティG</v>
          </cell>
          <cell r="C647">
            <v>1387</v>
          </cell>
          <cell r="D647">
            <v>2100</v>
          </cell>
          <cell r="E647">
            <v>2300</v>
          </cell>
          <cell r="F647">
            <v>2500</v>
          </cell>
        </row>
        <row r="648">
          <cell r="A648" t="str">
            <v>SLZ121-A</v>
          </cell>
          <cell r="B648" t="str">
            <v>15パイオイルスティAブラック</v>
          </cell>
          <cell r="C648">
            <v>1500</v>
          </cell>
          <cell r="D648">
            <v>2300</v>
          </cell>
          <cell r="E648">
            <v>2500</v>
          </cell>
          <cell r="F648">
            <v>2800</v>
          </cell>
        </row>
        <row r="649">
          <cell r="A649" t="str">
            <v>SLZ121-C</v>
          </cell>
          <cell r="B649" t="str">
            <v>15パイオイルスティCブラック</v>
          </cell>
          <cell r="C649">
            <v>1634</v>
          </cell>
          <cell r="D649">
            <v>2500</v>
          </cell>
          <cell r="E649">
            <v>2800</v>
          </cell>
          <cell r="F649">
            <v>3100</v>
          </cell>
        </row>
        <row r="650">
          <cell r="A650" t="str">
            <v>SLA10050-B</v>
          </cell>
          <cell r="B650" t="str">
            <v>内倒し用ラツチ</v>
          </cell>
          <cell r="C650">
            <v>941</v>
          </cell>
          <cell r="D650">
            <v>1500</v>
          </cell>
          <cell r="E650">
            <v>1700</v>
          </cell>
          <cell r="F650">
            <v>1900</v>
          </cell>
        </row>
        <row r="651">
          <cell r="A651" t="str">
            <v>SLA10201</v>
          </cell>
          <cell r="B651" t="str">
            <v>外倒し用ラツチ</v>
          </cell>
          <cell r="C651">
            <v>1568</v>
          </cell>
          <cell r="D651">
            <v>2400</v>
          </cell>
          <cell r="E651">
            <v>2700</v>
          </cell>
          <cell r="F651">
            <v>3000</v>
          </cell>
        </row>
        <row r="652">
          <cell r="A652" t="str">
            <v>SLB10050-B</v>
          </cell>
          <cell r="B652" t="str">
            <v>内倒し用ラツチブロンズ</v>
          </cell>
          <cell r="C652">
            <v>941</v>
          </cell>
          <cell r="D652">
            <v>1500</v>
          </cell>
          <cell r="E652">
            <v>1700</v>
          </cell>
          <cell r="F652">
            <v>1900</v>
          </cell>
        </row>
        <row r="653">
          <cell r="A653" t="str">
            <v>SLB10201</v>
          </cell>
          <cell r="B653" t="str">
            <v>外倒し用ラツチブロンズ</v>
          </cell>
          <cell r="C653">
            <v>1568</v>
          </cell>
          <cell r="D653">
            <v>2400</v>
          </cell>
          <cell r="E653">
            <v>2700</v>
          </cell>
          <cell r="F653">
            <v>3000</v>
          </cell>
        </row>
        <row r="654">
          <cell r="A654" t="str">
            <v>SLA10050-FA</v>
          </cell>
          <cell r="B654" t="str">
            <v>ヒューズラッチＡ</v>
          </cell>
          <cell r="C654">
            <v>459</v>
          </cell>
          <cell r="D654">
            <v>700</v>
          </cell>
          <cell r="E654">
            <v>800</v>
          </cell>
          <cell r="F654">
            <v>900</v>
          </cell>
        </row>
        <row r="655">
          <cell r="A655" t="str">
            <v>SLA10050-FB</v>
          </cell>
          <cell r="B655" t="str">
            <v>ヒューズラッチＢ</v>
          </cell>
          <cell r="C655">
            <v>717</v>
          </cell>
          <cell r="D655">
            <v>1100</v>
          </cell>
          <cell r="E655">
            <v>1200</v>
          </cell>
          <cell r="F655">
            <v>1350</v>
          </cell>
        </row>
        <row r="656">
          <cell r="A656" t="str">
            <v>SLB10050-FA</v>
          </cell>
          <cell r="B656" t="str">
            <v>ヒューズラッチＡブロンズ</v>
          </cell>
          <cell r="C656">
            <v>672</v>
          </cell>
          <cell r="D656">
            <v>1100</v>
          </cell>
          <cell r="E656">
            <v>1200</v>
          </cell>
          <cell r="F656">
            <v>1350</v>
          </cell>
        </row>
        <row r="657">
          <cell r="A657" t="str">
            <v>SLB10050-FB</v>
          </cell>
          <cell r="B657" t="str">
            <v>ヒューズラッチＢブロンズ</v>
          </cell>
          <cell r="C657">
            <v>728</v>
          </cell>
          <cell r="D657">
            <v>800</v>
          </cell>
          <cell r="E657">
            <v>900</v>
          </cell>
          <cell r="F657">
            <v>1000</v>
          </cell>
        </row>
        <row r="658">
          <cell r="A658" t="str">
            <v>SLS84050CB-100</v>
          </cell>
          <cell r="B658" t="str">
            <v>リンクスティサブＡＳＳＹＣＢＲ</v>
          </cell>
          <cell r="C658">
            <v>5664</v>
          </cell>
          <cell r="D658">
            <v>8500</v>
          </cell>
          <cell r="E658">
            <v>9500</v>
          </cell>
          <cell r="F658">
            <v>11000</v>
          </cell>
        </row>
        <row r="659">
          <cell r="A659" t="str">
            <v>SLS84050CB-300</v>
          </cell>
          <cell r="B659" t="str">
            <v>リンクスティサブＡＳＳＹＣＢＬ</v>
          </cell>
          <cell r="C659">
            <v>5664</v>
          </cell>
          <cell r="D659">
            <v>8500</v>
          </cell>
          <cell r="E659">
            <v>9500</v>
          </cell>
          <cell r="F659">
            <v>11000</v>
          </cell>
        </row>
        <row r="660">
          <cell r="A660" t="str">
            <v>SLS84050CC-100</v>
          </cell>
          <cell r="B660" t="str">
            <v>リンクスティサブＡＳＳＹＣＣＲ</v>
          </cell>
          <cell r="C660">
            <v>5879</v>
          </cell>
          <cell r="D660">
            <v>9000</v>
          </cell>
          <cell r="E660">
            <v>10000</v>
          </cell>
          <cell r="F660">
            <v>11500</v>
          </cell>
        </row>
        <row r="661">
          <cell r="A661" t="str">
            <v>SLS84050CC-300</v>
          </cell>
          <cell r="B661" t="str">
            <v>リンクスティサブＡＳＳＹＣＣＬ</v>
          </cell>
          <cell r="C661">
            <v>5879</v>
          </cell>
          <cell r="D661">
            <v>9000</v>
          </cell>
          <cell r="E661">
            <v>10000</v>
          </cell>
          <cell r="F661">
            <v>11500</v>
          </cell>
        </row>
        <row r="662">
          <cell r="A662" t="str">
            <v>SLS84050FI-100</v>
          </cell>
          <cell r="B662" t="str">
            <v>リンクスティサブＡＳＳＹＦＩＲ</v>
          </cell>
          <cell r="C662">
            <v>5727</v>
          </cell>
          <cell r="D662">
            <v>9000</v>
          </cell>
          <cell r="E662">
            <v>9500</v>
          </cell>
          <cell r="F662">
            <v>11000</v>
          </cell>
        </row>
        <row r="663">
          <cell r="A663" t="str">
            <v>SLS84050FI-300</v>
          </cell>
          <cell r="B663" t="str">
            <v>リンクスティサブＡＳＳＹＦＩＬ</v>
          </cell>
          <cell r="C663">
            <v>5727</v>
          </cell>
          <cell r="D663">
            <v>9000</v>
          </cell>
          <cell r="E663">
            <v>9500</v>
          </cell>
          <cell r="F663">
            <v>11000</v>
          </cell>
        </row>
        <row r="664">
          <cell r="A664" t="str">
            <v>SLS84050FK-100</v>
          </cell>
          <cell r="B664" t="str">
            <v>リンクスティサブＡＳＳＹＦＫＲ</v>
          </cell>
          <cell r="C664">
            <v>5373</v>
          </cell>
          <cell r="D664">
            <v>8500</v>
          </cell>
          <cell r="E664">
            <v>9500</v>
          </cell>
          <cell r="F664">
            <v>10500</v>
          </cell>
        </row>
        <row r="665">
          <cell r="A665" t="str">
            <v>SLS84050FK-300</v>
          </cell>
          <cell r="B665" t="str">
            <v>リンクスティサブＡＳＳＹＦＫＬ</v>
          </cell>
          <cell r="C665">
            <v>5373</v>
          </cell>
          <cell r="D665">
            <v>8500</v>
          </cell>
          <cell r="E665">
            <v>9500</v>
          </cell>
          <cell r="F665">
            <v>10500</v>
          </cell>
        </row>
        <row r="666">
          <cell r="A666" t="str">
            <v>SLS84050FL-100</v>
          </cell>
          <cell r="B666" t="str">
            <v>リンクスティサブＡＳＳＹＦＬＲ</v>
          </cell>
          <cell r="C666">
            <v>5723</v>
          </cell>
          <cell r="D666">
            <v>9000</v>
          </cell>
          <cell r="E666">
            <v>9500</v>
          </cell>
          <cell r="F666">
            <v>11000</v>
          </cell>
        </row>
        <row r="667">
          <cell r="A667" t="str">
            <v>SLS84050FL-300</v>
          </cell>
          <cell r="B667" t="str">
            <v>リンクスティサブＡＳＳＹＦＬＬ</v>
          </cell>
          <cell r="C667">
            <v>5723</v>
          </cell>
          <cell r="D667">
            <v>9000</v>
          </cell>
          <cell r="E667">
            <v>9500</v>
          </cell>
          <cell r="F667">
            <v>11000</v>
          </cell>
        </row>
        <row r="668">
          <cell r="A668" t="str">
            <v>SLS84050FM-100</v>
          </cell>
          <cell r="B668" t="str">
            <v>リンクスティサブＡＳＳＹＦＭＲ</v>
          </cell>
          <cell r="C668">
            <v>5937</v>
          </cell>
          <cell r="D668">
            <v>9000</v>
          </cell>
          <cell r="E668">
            <v>10000</v>
          </cell>
          <cell r="F668">
            <v>11500</v>
          </cell>
        </row>
        <row r="669">
          <cell r="A669" t="str">
            <v>SLS84050FM-300</v>
          </cell>
          <cell r="B669" t="str">
            <v>リンクスティサブＡＳＳＹＦＭＬ</v>
          </cell>
          <cell r="C669">
            <v>5937</v>
          </cell>
          <cell r="D669">
            <v>9000</v>
          </cell>
          <cell r="E669">
            <v>10000</v>
          </cell>
          <cell r="F669">
            <v>11500</v>
          </cell>
        </row>
        <row r="670">
          <cell r="A670" t="str">
            <v>SLS84050GA-100</v>
          </cell>
          <cell r="B670" t="str">
            <v>リンクステイサブＡＳＳＹＧＡＲ</v>
          </cell>
          <cell r="C670">
            <v>5271</v>
          </cell>
          <cell r="D670">
            <v>8000</v>
          </cell>
          <cell r="E670">
            <v>9000</v>
          </cell>
          <cell r="F670">
            <v>10000</v>
          </cell>
        </row>
        <row r="671">
          <cell r="A671" t="str">
            <v>SLS84050GA-300</v>
          </cell>
          <cell r="B671" t="str">
            <v>リンクステイサブＡＳＳＹＧＡＬ</v>
          </cell>
          <cell r="C671">
            <v>5271</v>
          </cell>
          <cell r="D671">
            <v>8000</v>
          </cell>
          <cell r="E671">
            <v>9000</v>
          </cell>
          <cell r="F671">
            <v>10000</v>
          </cell>
        </row>
        <row r="672">
          <cell r="A672" t="str">
            <v>SLS84050GB-100</v>
          </cell>
          <cell r="B672" t="str">
            <v>リンクステイサブＡＳＳＹＧＢＲ</v>
          </cell>
          <cell r="C672">
            <v>5378</v>
          </cell>
          <cell r="D672">
            <v>8500</v>
          </cell>
          <cell r="E672">
            <v>9500</v>
          </cell>
          <cell r="F672">
            <v>10500</v>
          </cell>
        </row>
        <row r="673">
          <cell r="A673" t="str">
            <v>SLS84050GB-300</v>
          </cell>
          <cell r="B673" t="str">
            <v>リンクステイサブＡＳＳＹＧＢＬ</v>
          </cell>
          <cell r="C673">
            <v>5378</v>
          </cell>
          <cell r="D673">
            <v>8500</v>
          </cell>
          <cell r="E673">
            <v>9500</v>
          </cell>
          <cell r="F673">
            <v>10500</v>
          </cell>
        </row>
        <row r="674">
          <cell r="A674" t="str">
            <v>SLS84050GC-100</v>
          </cell>
          <cell r="B674" t="str">
            <v>リンクステイサブＡＳＳＹＧＣＲ</v>
          </cell>
          <cell r="C674">
            <v>5709</v>
          </cell>
          <cell r="D674">
            <v>9000</v>
          </cell>
          <cell r="E674">
            <v>10000</v>
          </cell>
          <cell r="F674">
            <v>11000</v>
          </cell>
        </row>
        <row r="675">
          <cell r="A675" t="str">
            <v>SLS84050GC-300</v>
          </cell>
          <cell r="B675" t="str">
            <v>リンクステイサブＡＳＳＹＧＣＬ</v>
          </cell>
          <cell r="C675">
            <v>5709</v>
          </cell>
          <cell r="D675">
            <v>9000</v>
          </cell>
          <cell r="E675">
            <v>10000</v>
          </cell>
          <cell r="F675">
            <v>11000</v>
          </cell>
        </row>
        <row r="676">
          <cell r="A676" t="str">
            <v>SLS84050GD-100</v>
          </cell>
          <cell r="B676" t="str">
            <v>リンクステイサブＡＳＳＹＧＤＲ</v>
          </cell>
          <cell r="C676">
            <v>5944</v>
          </cell>
          <cell r="D676">
            <v>9000</v>
          </cell>
          <cell r="E676">
            <v>10000</v>
          </cell>
          <cell r="F676">
            <v>11500</v>
          </cell>
        </row>
        <row r="677">
          <cell r="A677" t="str">
            <v>SLS84050GD-300</v>
          </cell>
          <cell r="B677" t="str">
            <v>リンクステイサブＡＳＳＹＧＤＬ</v>
          </cell>
          <cell r="C677">
            <v>5944</v>
          </cell>
          <cell r="D677">
            <v>9000</v>
          </cell>
          <cell r="E677">
            <v>10000</v>
          </cell>
          <cell r="F677">
            <v>11500</v>
          </cell>
        </row>
        <row r="678">
          <cell r="A678" t="str">
            <v>SLS84050GE-100</v>
          </cell>
          <cell r="B678" t="str">
            <v>リンクステイサブＡＳＳＹＧＥＲ</v>
          </cell>
          <cell r="C678">
            <v>5761</v>
          </cell>
          <cell r="D678">
            <v>9000</v>
          </cell>
          <cell r="E678">
            <v>10000</v>
          </cell>
          <cell r="F678">
            <v>11000</v>
          </cell>
        </row>
        <row r="679">
          <cell r="A679" t="str">
            <v>SLS84050GE-300</v>
          </cell>
          <cell r="B679" t="str">
            <v>リンクステイサブＡＳＳＹＧＥＬ</v>
          </cell>
          <cell r="C679">
            <v>5761</v>
          </cell>
          <cell r="D679">
            <v>9000</v>
          </cell>
          <cell r="E679">
            <v>10000</v>
          </cell>
          <cell r="F679">
            <v>11000</v>
          </cell>
        </row>
        <row r="680">
          <cell r="A680" t="str">
            <v>SLS84050KA-100</v>
          </cell>
          <cell r="B680" t="str">
            <v>リンクスティサブＡＳＳＹＫＡＲ</v>
          </cell>
          <cell r="C680">
            <v>4432</v>
          </cell>
          <cell r="D680">
            <v>7000</v>
          </cell>
          <cell r="E680">
            <v>7700</v>
          </cell>
          <cell r="F680">
            <v>8800</v>
          </cell>
        </row>
        <row r="681">
          <cell r="A681" t="str">
            <v>SLS84050KA-300</v>
          </cell>
          <cell r="B681" t="str">
            <v>リンクスティサブＡＳＳＹＫＡＬ</v>
          </cell>
          <cell r="C681">
            <v>4432</v>
          </cell>
          <cell r="D681">
            <v>7000</v>
          </cell>
          <cell r="E681">
            <v>7700</v>
          </cell>
          <cell r="F681">
            <v>8800</v>
          </cell>
        </row>
        <row r="682">
          <cell r="A682" t="str">
            <v>SLS84050KB-100</v>
          </cell>
          <cell r="B682" t="str">
            <v>リンクスティサブＡＳＳＹＫＢＲ</v>
          </cell>
          <cell r="C682">
            <v>4721</v>
          </cell>
          <cell r="D682">
            <v>7500</v>
          </cell>
          <cell r="E682">
            <v>8000</v>
          </cell>
          <cell r="F682">
            <v>9000</v>
          </cell>
        </row>
        <row r="683">
          <cell r="A683" t="str">
            <v>SLS84050KB-300</v>
          </cell>
          <cell r="B683" t="str">
            <v>リンクスティサブＡＳＳＹＫＢＬ</v>
          </cell>
          <cell r="C683">
            <v>4721</v>
          </cell>
          <cell r="D683">
            <v>7500</v>
          </cell>
          <cell r="E683">
            <v>8000</v>
          </cell>
          <cell r="F683">
            <v>9000</v>
          </cell>
        </row>
        <row r="684">
          <cell r="A684" t="str">
            <v>SLS84050KC-100</v>
          </cell>
          <cell r="B684" t="str">
            <v>リンクスティサブＡＳＳＹＫＣＲ</v>
          </cell>
          <cell r="C684">
            <v>4932</v>
          </cell>
          <cell r="D684">
            <v>7500</v>
          </cell>
          <cell r="E684">
            <v>8500</v>
          </cell>
          <cell r="F684">
            <v>9500</v>
          </cell>
        </row>
        <row r="685">
          <cell r="A685" t="str">
            <v>SLS84050KC-300</v>
          </cell>
          <cell r="B685" t="str">
            <v>リンクスティサブＡＳＳＹＫＣＬ</v>
          </cell>
          <cell r="C685">
            <v>4932</v>
          </cell>
          <cell r="D685">
            <v>7500</v>
          </cell>
          <cell r="E685">
            <v>8500</v>
          </cell>
          <cell r="F685">
            <v>9500</v>
          </cell>
        </row>
        <row r="686">
          <cell r="A686" t="str">
            <v>SLS84050NA-100</v>
          </cell>
          <cell r="B686" t="str">
            <v>リンクスティサブＡＳＳＹＮＡＲ</v>
          </cell>
          <cell r="C686">
            <v>4930</v>
          </cell>
          <cell r="D686">
            <v>7500</v>
          </cell>
          <cell r="E686">
            <v>8500</v>
          </cell>
          <cell r="F686">
            <v>9500</v>
          </cell>
        </row>
        <row r="687">
          <cell r="A687" t="str">
            <v>SLS84050NA-300</v>
          </cell>
          <cell r="B687" t="str">
            <v>リンクスティサブＡＳＳＹＮＡＬ</v>
          </cell>
          <cell r="C687">
            <v>4930</v>
          </cell>
          <cell r="D687">
            <v>7500</v>
          </cell>
          <cell r="E687">
            <v>8500</v>
          </cell>
          <cell r="F687">
            <v>9500</v>
          </cell>
        </row>
        <row r="688">
          <cell r="A688" t="str">
            <v>SLS84050NB-100</v>
          </cell>
          <cell r="B688" t="str">
            <v>リンクスティサブＡＳＳＹＮＢＲ</v>
          </cell>
          <cell r="C688">
            <v>5261</v>
          </cell>
          <cell r="D688">
            <v>8000</v>
          </cell>
          <cell r="E688">
            <v>9000</v>
          </cell>
          <cell r="F688">
            <v>10000</v>
          </cell>
        </row>
        <row r="689">
          <cell r="A689" t="str">
            <v>SLS84050NB-300</v>
          </cell>
          <cell r="B689" t="str">
            <v>リンクスティサブＡＳＳＹＮＢＬ</v>
          </cell>
          <cell r="C689">
            <v>5261</v>
          </cell>
          <cell r="D689">
            <v>8000</v>
          </cell>
          <cell r="E689">
            <v>9000</v>
          </cell>
          <cell r="F689">
            <v>10000</v>
          </cell>
        </row>
        <row r="690">
          <cell r="A690" t="str">
            <v>SLS84050NC-100</v>
          </cell>
          <cell r="B690" t="str">
            <v>リンクスティサブＡＳＳＹＮＣＲ</v>
          </cell>
          <cell r="C690">
            <v>5471</v>
          </cell>
          <cell r="D690">
            <v>8500</v>
          </cell>
          <cell r="E690">
            <v>9500</v>
          </cell>
          <cell r="F690">
            <v>10500</v>
          </cell>
        </row>
        <row r="691">
          <cell r="A691" t="str">
            <v>SLS84050NC-300</v>
          </cell>
          <cell r="B691" t="str">
            <v>リンクスティサブＡＳＳＹＮＣＬ</v>
          </cell>
          <cell r="C691">
            <v>5471</v>
          </cell>
          <cell r="D691">
            <v>8500</v>
          </cell>
          <cell r="E691">
            <v>9500</v>
          </cell>
          <cell r="F691">
            <v>10500</v>
          </cell>
        </row>
        <row r="692">
          <cell r="A692" t="str">
            <v>SLS84050ND-100</v>
          </cell>
          <cell r="B692" t="str">
            <v>リンクスティサブＡＳＳＹＮＤＲ</v>
          </cell>
          <cell r="C692">
            <v>5531</v>
          </cell>
          <cell r="D692">
            <v>8500</v>
          </cell>
          <cell r="E692">
            <v>9500</v>
          </cell>
          <cell r="F692">
            <v>10500</v>
          </cell>
        </row>
        <row r="693">
          <cell r="A693" t="str">
            <v>SLS84050ND-300</v>
          </cell>
          <cell r="B693" t="str">
            <v>リンクスティサブＡＳＳＹＮＤＬ</v>
          </cell>
          <cell r="C693">
            <v>5531</v>
          </cell>
          <cell r="D693">
            <v>8500</v>
          </cell>
          <cell r="E693">
            <v>9500</v>
          </cell>
          <cell r="F693">
            <v>10500</v>
          </cell>
        </row>
        <row r="694">
          <cell r="A694" t="str">
            <v>SLS84050NE-100</v>
          </cell>
          <cell r="B694" t="str">
            <v>リンクスティサブＡＳＳＹＮＥＲ</v>
          </cell>
          <cell r="C694">
            <v>4433</v>
          </cell>
          <cell r="D694">
            <v>7000</v>
          </cell>
          <cell r="E694">
            <v>7500</v>
          </cell>
          <cell r="F694">
            <v>8800</v>
          </cell>
        </row>
        <row r="695">
          <cell r="A695" t="str">
            <v>SLS84050NE-300</v>
          </cell>
          <cell r="B695" t="str">
            <v>リンクスティサブＡＳＳＹＮＥＬ</v>
          </cell>
          <cell r="C695">
            <v>4433</v>
          </cell>
          <cell r="D695">
            <v>7000</v>
          </cell>
          <cell r="E695">
            <v>7500</v>
          </cell>
          <cell r="F695">
            <v>8800</v>
          </cell>
        </row>
        <row r="696">
          <cell r="A696" t="str">
            <v>SLS84050NF-100</v>
          </cell>
          <cell r="B696" t="str">
            <v>リンクスティサブＡＳＳＹＮＦＲ</v>
          </cell>
          <cell r="C696">
            <v>4467</v>
          </cell>
          <cell r="D696">
            <v>7000</v>
          </cell>
          <cell r="E696">
            <v>7500</v>
          </cell>
          <cell r="F696">
            <v>8800</v>
          </cell>
        </row>
        <row r="697">
          <cell r="A697" t="str">
            <v>SLS84050NF-300</v>
          </cell>
          <cell r="B697" t="str">
            <v>リンクスティサブＡＳＳＹＮＦＬ</v>
          </cell>
          <cell r="C697">
            <v>4467</v>
          </cell>
          <cell r="D697">
            <v>7000</v>
          </cell>
          <cell r="E697">
            <v>7500</v>
          </cell>
          <cell r="F697">
            <v>8800</v>
          </cell>
        </row>
        <row r="698">
          <cell r="A698" t="str">
            <v>SLS84050NK-100</v>
          </cell>
          <cell r="B698" t="str">
            <v>リンクステイサブＡＳＳＹＮＫＲ</v>
          </cell>
          <cell r="C698">
            <v>5139</v>
          </cell>
          <cell r="D698">
            <v>8000</v>
          </cell>
          <cell r="E698">
            <v>8500</v>
          </cell>
          <cell r="F698">
            <v>10000</v>
          </cell>
        </row>
        <row r="699">
          <cell r="A699" t="str">
            <v>SLS84050NK-300</v>
          </cell>
          <cell r="B699" t="str">
            <v>リンクステイサブＡＳＳＹＮＫＬ</v>
          </cell>
          <cell r="C699">
            <v>5139</v>
          </cell>
          <cell r="D699">
            <v>8000</v>
          </cell>
          <cell r="E699">
            <v>8500</v>
          </cell>
          <cell r="F699">
            <v>9500</v>
          </cell>
        </row>
        <row r="700">
          <cell r="A700" t="str">
            <v>SLS84050NL-100</v>
          </cell>
          <cell r="B700" t="str">
            <v>リンクステイサブＡＳＳＹＮＬＲ</v>
          </cell>
          <cell r="C700">
            <v>5286</v>
          </cell>
          <cell r="D700">
            <v>8000</v>
          </cell>
          <cell r="E700">
            <v>9000</v>
          </cell>
          <cell r="F700">
            <v>10000</v>
          </cell>
        </row>
        <row r="701">
          <cell r="A701" t="str">
            <v>SLS84050NL-300</v>
          </cell>
          <cell r="B701" t="str">
            <v>リンクステイサブＡＳＳＹＮＬＬ</v>
          </cell>
          <cell r="C701">
            <v>5286</v>
          </cell>
          <cell r="D701">
            <v>8000</v>
          </cell>
          <cell r="E701">
            <v>9000</v>
          </cell>
          <cell r="F701">
            <v>10000</v>
          </cell>
        </row>
        <row r="702">
          <cell r="A702" t="str">
            <v>SLS84050NM-100</v>
          </cell>
          <cell r="B702" t="str">
            <v>リンクステイサブＡＳＳＹＮＭＲ</v>
          </cell>
          <cell r="C702">
            <v>5059</v>
          </cell>
          <cell r="D702">
            <v>8000</v>
          </cell>
          <cell r="E702">
            <v>8500</v>
          </cell>
          <cell r="F702">
            <v>10000</v>
          </cell>
        </row>
        <row r="703">
          <cell r="A703" t="str">
            <v>SLS84050NM-300</v>
          </cell>
          <cell r="B703" t="str">
            <v>リンクステイサブＡＳＳＹＮＭＬ</v>
          </cell>
          <cell r="C703">
            <v>5059</v>
          </cell>
          <cell r="D703">
            <v>8000</v>
          </cell>
          <cell r="E703">
            <v>8500</v>
          </cell>
          <cell r="F703">
            <v>10000</v>
          </cell>
        </row>
        <row r="704">
          <cell r="A704" t="str">
            <v>SLS84050NN-100</v>
          </cell>
          <cell r="B704" t="str">
            <v>リンクステイサブＡＳＳＹＮＮＲ</v>
          </cell>
          <cell r="C704">
            <v>5537</v>
          </cell>
          <cell r="D704">
            <v>8500</v>
          </cell>
          <cell r="E704">
            <v>9500</v>
          </cell>
          <cell r="F704">
            <v>10500</v>
          </cell>
        </row>
        <row r="705">
          <cell r="A705" t="str">
            <v>SLS84050NN-300</v>
          </cell>
          <cell r="B705" t="str">
            <v>リンクステイサブＡＳＳＹＮＮＬ</v>
          </cell>
          <cell r="C705">
            <v>5537</v>
          </cell>
          <cell r="D705">
            <v>8500</v>
          </cell>
          <cell r="E705">
            <v>9500</v>
          </cell>
          <cell r="F705">
            <v>10500</v>
          </cell>
        </row>
        <row r="706">
          <cell r="A706" t="str">
            <v>SLS84050NO-100</v>
          </cell>
          <cell r="B706" t="str">
            <v>リンクステイサブＡＳＳＹＮＯＲ</v>
          </cell>
          <cell r="C706">
            <v>5770</v>
          </cell>
          <cell r="D706">
            <v>8700</v>
          </cell>
          <cell r="E706">
            <v>9500</v>
          </cell>
          <cell r="F706">
            <v>10500</v>
          </cell>
        </row>
        <row r="707">
          <cell r="A707" t="str">
            <v>SLS84050NO-300</v>
          </cell>
          <cell r="B707" t="str">
            <v>リンクステイサブＡＳＳＹＮＯＬ</v>
          </cell>
          <cell r="C707">
            <v>5770</v>
          </cell>
          <cell r="D707">
            <v>8700</v>
          </cell>
          <cell r="E707">
            <v>9500</v>
          </cell>
          <cell r="F707">
            <v>10500</v>
          </cell>
        </row>
        <row r="708">
          <cell r="A708" t="str">
            <v>SLS84050NP-100</v>
          </cell>
          <cell r="B708" t="str">
            <v>リンクステイサブＡＳＳＹＮＰＲ</v>
          </cell>
          <cell r="C708">
            <v>5346</v>
          </cell>
          <cell r="D708">
            <v>8300</v>
          </cell>
          <cell r="E708">
            <v>9200</v>
          </cell>
          <cell r="F708">
            <v>10200</v>
          </cell>
        </row>
        <row r="709">
          <cell r="A709" t="str">
            <v>SLS84050NP-300</v>
          </cell>
          <cell r="B709" t="str">
            <v>リンクステイサブＡＳＳＹＮＰＬ</v>
          </cell>
          <cell r="C709">
            <v>5346</v>
          </cell>
          <cell r="D709">
            <v>8300</v>
          </cell>
          <cell r="E709">
            <v>9200</v>
          </cell>
          <cell r="F709">
            <v>10200</v>
          </cell>
        </row>
        <row r="710">
          <cell r="A710" t="str">
            <v>SLS84050YD-100</v>
          </cell>
          <cell r="B710" t="str">
            <v>リンクスティサブＡＳＳＹＹＤＲ</v>
          </cell>
          <cell r="C710">
            <v>5338</v>
          </cell>
          <cell r="D710">
            <v>8200</v>
          </cell>
          <cell r="E710">
            <v>9200</v>
          </cell>
          <cell r="F710">
            <v>10200</v>
          </cell>
        </row>
        <row r="711">
          <cell r="A711" t="str">
            <v>SLS84050YD-300</v>
          </cell>
          <cell r="B711" t="str">
            <v>リンクスティサブＡＳＳＹＹＤＬ</v>
          </cell>
          <cell r="C711">
            <v>5338</v>
          </cell>
          <cell r="D711">
            <v>8200</v>
          </cell>
          <cell r="E711">
            <v>9200</v>
          </cell>
          <cell r="F711">
            <v>10200</v>
          </cell>
        </row>
        <row r="712">
          <cell r="A712" t="str">
            <v>SLS84150YA-500</v>
          </cell>
          <cell r="B712" t="str">
            <v>外倒し用当て材</v>
          </cell>
          <cell r="C712">
            <v>196</v>
          </cell>
          <cell r="D712">
            <v>300</v>
          </cell>
          <cell r="E712">
            <v>350</v>
          </cell>
          <cell r="F712">
            <v>400</v>
          </cell>
        </row>
        <row r="713">
          <cell r="A713" t="str">
            <v>SLS84150YA-600</v>
          </cell>
          <cell r="B713" t="str">
            <v>外倒し用当て材</v>
          </cell>
          <cell r="C713">
            <v>196</v>
          </cell>
          <cell r="D713">
            <v>300</v>
          </cell>
          <cell r="E713">
            <v>350</v>
          </cell>
          <cell r="F713">
            <v>400</v>
          </cell>
        </row>
        <row r="714">
          <cell r="A714" t="str">
            <v>SLS84150YAL-A1</v>
          </cell>
          <cell r="B714" t="str">
            <v>プッシャ－スティL</v>
          </cell>
          <cell r="C714">
            <v>2268</v>
          </cell>
          <cell r="D714">
            <v>3500</v>
          </cell>
          <cell r="E714">
            <v>4000</v>
          </cell>
          <cell r="F714">
            <v>4500</v>
          </cell>
        </row>
        <row r="715">
          <cell r="A715" t="str">
            <v>SLS84150YAL-A2</v>
          </cell>
          <cell r="B715" t="str">
            <v>プッシャ－スティL</v>
          </cell>
          <cell r="C715">
            <v>2268</v>
          </cell>
          <cell r="D715">
            <v>3500</v>
          </cell>
          <cell r="E715">
            <v>4000</v>
          </cell>
          <cell r="F715">
            <v>4500</v>
          </cell>
        </row>
        <row r="716">
          <cell r="A716" t="str">
            <v>SLS84150YAL-A3</v>
          </cell>
          <cell r="B716" t="str">
            <v>プッシャ－スティL</v>
          </cell>
          <cell r="C716">
            <v>2268</v>
          </cell>
          <cell r="D716">
            <v>3500</v>
          </cell>
          <cell r="E716">
            <v>4000</v>
          </cell>
          <cell r="F716">
            <v>4500</v>
          </cell>
        </row>
        <row r="717">
          <cell r="A717" t="str">
            <v>SLS84150YAR-A1</v>
          </cell>
          <cell r="B717" t="str">
            <v>プッシャ－スティR</v>
          </cell>
          <cell r="C717">
            <v>2268</v>
          </cell>
          <cell r="D717">
            <v>3500</v>
          </cell>
          <cell r="E717">
            <v>4000</v>
          </cell>
          <cell r="F717">
            <v>4500</v>
          </cell>
        </row>
        <row r="718">
          <cell r="A718" t="str">
            <v>SLS84150YAR-A2</v>
          </cell>
          <cell r="B718" t="str">
            <v>プッシャ－スティR</v>
          </cell>
          <cell r="C718">
            <v>2268</v>
          </cell>
          <cell r="D718">
            <v>3500</v>
          </cell>
          <cell r="E718">
            <v>4000</v>
          </cell>
          <cell r="F718">
            <v>4500</v>
          </cell>
        </row>
        <row r="719">
          <cell r="A719" t="str">
            <v>SLS84150YAR-A3</v>
          </cell>
          <cell r="B719" t="str">
            <v>プッシャ－スティR</v>
          </cell>
          <cell r="C719">
            <v>2268</v>
          </cell>
          <cell r="D719">
            <v>3500</v>
          </cell>
          <cell r="E719">
            <v>4000</v>
          </cell>
          <cell r="F719">
            <v>4500</v>
          </cell>
        </row>
        <row r="720">
          <cell r="A720" t="str">
            <v>SLS84150YBL-A1</v>
          </cell>
          <cell r="B720" t="str">
            <v>プッシャ－スティL</v>
          </cell>
          <cell r="C720">
            <v>2313</v>
          </cell>
          <cell r="D720">
            <v>3500</v>
          </cell>
          <cell r="E720">
            <v>4000</v>
          </cell>
          <cell r="F720">
            <v>4500</v>
          </cell>
        </row>
        <row r="721">
          <cell r="A721" t="str">
            <v>SLS84150YBL-A2</v>
          </cell>
          <cell r="B721" t="str">
            <v>プッシャ－スティL</v>
          </cell>
          <cell r="C721">
            <v>2313</v>
          </cell>
          <cell r="D721">
            <v>3500</v>
          </cell>
          <cell r="E721">
            <v>4000</v>
          </cell>
          <cell r="F721">
            <v>4500</v>
          </cell>
        </row>
        <row r="722">
          <cell r="A722" t="str">
            <v>SLS84150YBL-A3</v>
          </cell>
          <cell r="B722" t="str">
            <v>プッシャ－スティL</v>
          </cell>
          <cell r="C722">
            <v>2313</v>
          </cell>
          <cell r="D722">
            <v>3500</v>
          </cell>
          <cell r="E722">
            <v>4000</v>
          </cell>
          <cell r="F722">
            <v>4500</v>
          </cell>
        </row>
        <row r="723">
          <cell r="A723" t="str">
            <v>SLS84150YBL-B1</v>
          </cell>
          <cell r="B723" t="str">
            <v>プッシャ－スティL</v>
          </cell>
          <cell r="C723">
            <v>2346</v>
          </cell>
          <cell r="D723">
            <v>3500</v>
          </cell>
          <cell r="E723">
            <v>4000</v>
          </cell>
          <cell r="F723">
            <v>4500</v>
          </cell>
        </row>
        <row r="724">
          <cell r="A724" t="str">
            <v>SLS84150YBL-B2</v>
          </cell>
          <cell r="B724" t="str">
            <v>プッシャ－スティL</v>
          </cell>
          <cell r="C724">
            <v>2346</v>
          </cell>
          <cell r="D724">
            <v>3500</v>
          </cell>
          <cell r="E724">
            <v>4000</v>
          </cell>
          <cell r="F724">
            <v>4500</v>
          </cell>
        </row>
        <row r="725">
          <cell r="A725" t="str">
            <v>SLS84150YBL-B3</v>
          </cell>
          <cell r="B725" t="str">
            <v>プッシャ－スティL</v>
          </cell>
          <cell r="C725">
            <v>2346</v>
          </cell>
          <cell r="D725">
            <v>3500</v>
          </cell>
          <cell r="E725">
            <v>4000</v>
          </cell>
          <cell r="F725">
            <v>4500</v>
          </cell>
        </row>
        <row r="726">
          <cell r="A726" t="str">
            <v>SLS84150YBL-C1</v>
          </cell>
          <cell r="B726" t="str">
            <v>プッシャ－スティL</v>
          </cell>
          <cell r="C726">
            <v>2427</v>
          </cell>
          <cell r="D726">
            <v>3500</v>
          </cell>
          <cell r="E726">
            <v>4000</v>
          </cell>
          <cell r="F726">
            <v>4500</v>
          </cell>
        </row>
        <row r="727">
          <cell r="A727" t="str">
            <v>SLS84150YBL-C2</v>
          </cell>
          <cell r="B727" t="str">
            <v>プッシャ－スティL</v>
          </cell>
          <cell r="C727">
            <v>2427</v>
          </cell>
          <cell r="D727">
            <v>3500</v>
          </cell>
          <cell r="E727">
            <v>4000</v>
          </cell>
          <cell r="F727">
            <v>4500</v>
          </cell>
        </row>
        <row r="728">
          <cell r="A728" t="str">
            <v>SLS84150YBL-C3</v>
          </cell>
          <cell r="B728" t="str">
            <v>プッシャ－スティL</v>
          </cell>
          <cell r="C728">
            <v>2427</v>
          </cell>
          <cell r="D728">
            <v>3500</v>
          </cell>
          <cell r="E728">
            <v>4000</v>
          </cell>
          <cell r="F728">
            <v>4500</v>
          </cell>
        </row>
        <row r="729">
          <cell r="A729" t="str">
            <v>SLS84150YBR-A1</v>
          </cell>
          <cell r="B729" t="str">
            <v>プッシャ－スティR</v>
          </cell>
          <cell r="C729">
            <v>2313</v>
          </cell>
          <cell r="D729">
            <v>3500</v>
          </cell>
          <cell r="E729">
            <v>4000</v>
          </cell>
          <cell r="F729">
            <v>4500</v>
          </cell>
        </row>
        <row r="730">
          <cell r="A730" t="str">
            <v>SLS84150YBR-A2</v>
          </cell>
          <cell r="B730" t="str">
            <v>プッシャ－スティR</v>
          </cell>
          <cell r="C730">
            <v>2313</v>
          </cell>
          <cell r="D730">
            <v>3500</v>
          </cell>
          <cell r="E730">
            <v>4000</v>
          </cell>
          <cell r="F730">
            <v>4500</v>
          </cell>
        </row>
        <row r="731">
          <cell r="A731" t="str">
            <v>SLS84150YBR-A3</v>
          </cell>
          <cell r="B731" t="str">
            <v>プッシャ－スティR</v>
          </cell>
          <cell r="C731">
            <v>2313</v>
          </cell>
          <cell r="D731">
            <v>3500</v>
          </cell>
          <cell r="E731">
            <v>4000</v>
          </cell>
          <cell r="F731">
            <v>4500</v>
          </cell>
        </row>
        <row r="732">
          <cell r="A732" t="str">
            <v>SLS84150YBR-B1</v>
          </cell>
          <cell r="B732" t="str">
            <v>プッシャ－スティR</v>
          </cell>
          <cell r="C732">
            <v>2346</v>
          </cell>
          <cell r="D732">
            <v>3500</v>
          </cell>
          <cell r="E732">
            <v>4000</v>
          </cell>
          <cell r="F732">
            <v>4500</v>
          </cell>
        </row>
        <row r="733">
          <cell r="A733" t="str">
            <v>SLS84150YBR-B2</v>
          </cell>
          <cell r="B733" t="str">
            <v>プッシャ－スティR</v>
          </cell>
          <cell r="C733">
            <v>2346</v>
          </cell>
          <cell r="D733">
            <v>3500</v>
          </cell>
          <cell r="E733">
            <v>4000</v>
          </cell>
          <cell r="F733">
            <v>4500</v>
          </cell>
        </row>
        <row r="734">
          <cell r="A734" t="str">
            <v>SLS84150YBR-B3</v>
          </cell>
          <cell r="B734" t="str">
            <v>プッシャ－スティR</v>
          </cell>
          <cell r="C734">
            <v>2346</v>
          </cell>
          <cell r="D734">
            <v>3500</v>
          </cell>
          <cell r="E734">
            <v>4000</v>
          </cell>
          <cell r="F734">
            <v>4500</v>
          </cell>
        </row>
        <row r="735">
          <cell r="A735" t="str">
            <v>SLS84150YBR-C1</v>
          </cell>
          <cell r="B735" t="str">
            <v>プッシャ－スティR</v>
          </cell>
          <cell r="C735">
            <v>2427</v>
          </cell>
          <cell r="D735">
            <v>3500</v>
          </cell>
          <cell r="E735">
            <v>4000</v>
          </cell>
          <cell r="F735">
            <v>4500</v>
          </cell>
        </row>
        <row r="736">
          <cell r="A736" t="str">
            <v>SLS84150YBR-C2</v>
          </cell>
          <cell r="B736" t="str">
            <v>プッシャ－スティR</v>
          </cell>
          <cell r="C736">
            <v>2427</v>
          </cell>
          <cell r="D736">
            <v>3500</v>
          </cell>
          <cell r="E736">
            <v>4000</v>
          </cell>
          <cell r="F736">
            <v>4500</v>
          </cell>
        </row>
        <row r="737">
          <cell r="A737" t="str">
            <v>SLS84150YBR-C3</v>
          </cell>
          <cell r="B737" t="str">
            <v>プッシャ－スティR</v>
          </cell>
          <cell r="C737">
            <v>2427</v>
          </cell>
          <cell r="D737">
            <v>3500</v>
          </cell>
          <cell r="E737">
            <v>4000</v>
          </cell>
          <cell r="F737">
            <v>4500</v>
          </cell>
        </row>
        <row r="738">
          <cell r="A738" t="str">
            <v>SLS84150YCL-A2</v>
          </cell>
          <cell r="B738" t="str">
            <v>プッシャ－スティL</v>
          </cell>
          <cell r="C738">
            <v>2508</v>
          </cell>
          <cell r="D738">
            <v>3700</v>
          </cell>
          <cell r="E738">
            <v>4000</v>
          </cell>
          <cell r="F738">
            <v>4500</v>
          </cell>
        </row>
        <row r="739">
          <cell r="A739" t="str">
            <v>SLS84150YCL-A3</v>
          </cell>
          <cell r="B739" t="str">
            <v>プッシャ－スティL</v>
          </cell>
          <cell r="C739">
            <v>2508</v>
          </cell>
          <cell r="D739">
            <v>3700</v>
          </cell>
          <cell r="E739">
            <v>4000</v>
          </cell>
          <cell r="F739">
            <v>4500</v>
          </cell>
        </row>
        <row r="740">
          <cell r="A740" t="str">
            <v>SLS84150YCR-A2</v>
          </cell>
          <cell r="B740" t="str">
            <v>プッシャ－スティR</v>
          </cell>
          <cell r="C740">
            <v>2508</v>
          </cell>
          <cell r="D740">
            <v>3700</v>
          </cell>
          <cell r="E740">
            <v>4000</v>
          </cell>
          <cell r="F740">
            <v>4500</v>
          </cell>
        </row>
        <row r="741">
          <cell r="A741" t="str">
            <v>SLS84150YCR-A3</v>
          </cell>
          <cell r="B741" t="str">
            <v>プッシャ－スティR</v>
          </cell>
          <cell r="C741">
            <v>2508</v>
          </cell>
          <cell r="D741">
            <v>3700</v>
          </cell>
          <cell r="E741">
            <v>4000</v>
          </cell>
          <cell r="F741">
            <v>4500</v>
          </cell>
        </row>
        <row r="742">
          <cell r="A742" t="str">
            <v>SLS84150-YC-500</v>
          </cell>
          <cell r="B742" t="str">
            <v>当て材</v>
          </cell>
          <cell r="C742">
            <v>223</v>
          </cell>
          <cell r="D742">
            <v>350</v>
          </cell>
          <cell r="E742">
            <v>400</v>
          </cell>
          <cell r="F742">
            <v>500</v>
          </cell>
        </row>
        <row r="743">
          <cell r="A743" t="str">
            <v>SLS84150-YC-600</v>
          </cell>
          <cell r="B743" t="str">
            <v>当て材</v>
          </cell>
          <cell r="C743">
            <v>223</v>
          </cell>
          <cell r="D743">
            <v>350</v>
          </cell>
          <cell r="E743">
            <v>400</v>
          </cell>
          <cell r="F743">
            <v>500</v>
          </cell>
        </row>
        <row r="744">
          <cell r="A744" t="str">
            <v>SLS84250-YA-A1</v>
          </cell>
          <cell r="B744" t="str">
            <v>スティＡＳＳＹ</v>
          </cell>
          <cell r="C744">
            <v>2509</v>
          </cell>
          <cell r="D744">
            <v>4000</v>
          </cell>
          <cell r="E744">
            <v>4500</v>
          </cell>
          <cell r="F744">
            <v>5000</v>
          </cell>
        </row>
        <row r="745">
          <cell r="A745" t="str">
            <v>SLS84250-YA-B1</v>
          </cell>
          <cell r="B745" t="str">
            <v>スティＡＳＳＹ</v>
          </cell>
          <cell r="C745">
            <v>2527</v>
          </cell>
          <cell r="D745">
            <v>4000</v>
          </cell>
          <cell r="E745">
            <v>4500</v>
          </cell>
          <cell r="F745">
            <v>5000</v>
          </cell>
        </row>
        <row r="746">
          <cell r="A746" t="str">
            <v>SLS84250-YA-C1</v>
          </cell>
          <cell r="B746" t="str">
            <v>スティＡＳＳＹ</v>
          </cell>
          <cell r="C746">
            <v>2545</v>
          </cell>
          <cell r="D746">
            <v>4000</v>
          </cell>
          <cell r="E746">
            <v>4500</v>
          </cell>
          <cell r="F746">
            <v>5000</v>
          </cell>
        </row>
        <row r="747">
          <cell r="A747" t="str">
            <v>SLS84250-YA-D1</v>
          </cell>
          <cell r="B747" t="str">
            <v>スティＡＳＳＹ</v>
          </cell>
          <cell r="C747">
            <v>2536</v>
          </cell>
          <cell r="D747">
            <v>4000</v>
          </cell>
          <cell r="E747">
            <v>4500</v>
          </cell>
          <cell r="F747">
            <v>5000</v>
          </cell>
        </row>
        <row r="748">
          <cell r="A748" t="str">
            <v>SLS84250-YA-E1</v>
          </cell>
          <cell r="B748" t="str">
            <v>スティＡＳＳＹ</v>
          </cell>
          <cell r="C748">
            <v>2503</v>
          </cell>
          <cell r="D748">
            <v>4000</v>
          </cell>
          <cell r="E748">
            <v>4500</v>
          </cell>
          <cell r="F748">
            <v>5000</v>
          </cell>
        </row>
        <row r="749">
          <cell r="A749" t="str">
            <v>SLS84250-YA-A2</v>
          </cell>
          <cell r="B749" t="str">
            <v>スティＡＳＳＹ</v>
          </cell>
          <cell r="C749">
            <v>2509</v>
          </cell>
          <cell r="D749">
            <v>4000</v>
          </cell>
          <cell r="E749">
            <v>4500</v>
          </cell>
          <cell r="F749">
            <v>5000</v>
          </cell>
        </row>
        <row r="750">
          <cell r="A750" t="str">
            <v>SLS84250-YA-B2</v>
          </cell>
          <cell r="B750" t="str">
            <v>スティＡＳＳＹ</v>
          </cell>
          <cell r="C750">
            <v>2528</v>
          </cell>
          <cell r="D750">
            <v>4000</v>
          </cell>
          <cell r="E750">
            <v>4500</v>
          </cell>
          <cell r="F750">
            <v>5000</v>
          </cell>
        </row>
        <row r="751">
          <cell r="A751" t="str">
            <v>SLS84250-YA-C2</v>
          </cell>
          <cell r="B751" t="str">
            <v>スティＡＳＳＹ</v>
          </cell>
          <cell r="C751">
            <v>2546</v>
          </cell>
          <cell r="D751">
            <v>4000</v>
          </cell>
          <cell r="E751">
            <v>4500</v>
          </cell>
          <cell r="F751">
            <v>5000</v>
          </cell>
        </row>
        <row r="752">
          <cell r="A752" t="str">
            <v>SLS84250-YA-D2</v>
          </cell>
          <cell r="B752" t="str">
            <v>スティＡＳＳＹ</v>
          </cell>
          <cell r="C752">
            <v>2550</v>
          </cell>
          <cell r="D752">
            <v>4000</v>
          </cell>
          <cell r="E752">
            <v>4500</v>
          </cell>
          <cell r="F752">
            <v>5000</v>
          </cell>
        </row>
        <row r="753">
          <cell r="A753" t="str">
            <v>SLS84250-YB-A1</v>
          </cell>
          <cell r="B753" t="str">
            <v>スティＡＳＳＹ</v>
          </cell>
          <cell r="C753">
            <v>2688</v>
          </cell>
          <cell r="D753">
            <v>4500</v>
          </cell>
          <cell r="E753">
            <v>4500</v>
          </cell>
          <cell r="F753">
            <v>5500</v>
          </cell>
        </row>
        <row r="754">
          <cell r="A754" t="str">
            <v>SLS84250-YB-B1</v>
          </cell>
          <cell r="B754" t="str">
            <v>スティＡＳＳＹ</v>
          </cell>
          <cell r="C754">
            <v>2709</v>
          </cell>
          <cell r="D754">
            <v>4500</v>
          </cell>
          <cell r="E754">
            <v>4500</v>
          </cell>
          <cell r="F754">
            <v>5500</v>
          </cell>
        </row>
        <row r="755">
          <cell r="A755" t="str">
            <v>SLS84250-YB-C1</v>
          </cell>
          <cell r="B755" t="str">
            <v>スティＡＳＳＹ</v>
          </cell>
          <cell r="C755">
            <v>2729</v>
          </cell>
          <cell r="D755">
            <v>4500</v>
          </cell>
          <cell r="E755">
            <v>5000</v>
          </cell>
          <cell r="F755">
            <v>5500</v>
          </cell>
        </row>
        <row r="756">
          <cell r="A756" t="str">
            <v>SLS84250-YB-D1</v>
          </cell>
          <cell r="B756" t="str">
            <v>スティＡＳＳＹ</v>
          </cell>
          <cell r="C756">
            <v>2738</v>
          </cell>
          <cell r="D756">
            <v>4500</v>
          </cell>
          <cell r="E756">
            <v>5000</v>
          </cell>
          <cell r="F756">
            <v>5500</v>
          </cell>
        </row>
        <row r="757">
          <cell r="A757" t="str">
            <v>SLS84250-YB-E1</v>
          </cell>
          <cell r="B757" t="str">
            <v>スティＡＳＳＹ</v>
          </cell>
          <cell r="C757">
            <v>2686</v>
          </cell>
          <cell r="D757">
            <v>4500</v>
          </cell>
          <cell r="E757">
            <v>4500</v>
          </cell>
          <cell r="F757">
            <v>5500</v>
          </cell>
        </row>
        <row r="758">
          <cell r="A758" t="str">
            <v>SLS84250-YB-A2</v>
          </cell>
          <cell r="B758" t="str">
            <v>スティＡＳＳＹ</v>
          </cell>
          <cell r="C758">
            <v>2690</v>
          </cell>
          <cell r="D758">
            <v>4500</v>
          </cell>
          <cell r="E758">
            <v>4500</v>
          </cell>
          <cell r="F758">
            <v>5500</v>
          </cell>
        </row>
        <row r="759">
          <cell r="A759" t="str">
            <v>SLS84250-YB-B2</v>
          </cell>
          <cell r="B759" t="str">
            <v>スティＡＳＳＹ</v>
          </cell>
          <cell r="C759">
            <v>2709</v>
          </cell>
          <cell r="D759">
            <v>4500</v>
          </cell>
          <cell r="E759">
            <v>4500</v>
          </cell>
          <cell r="F759">
            <v>5500</v>
          </cell>
        </row>
        <row r="760">
          <cell r="A760" t="str">
            <v>SLS84250-YB-C2</v>
          </cell>
          <cell r="B760" t="str">
            <v>スティＡＳＳＹ</v>
          </cell>
          <cell r="C760">
            <v>2728</v>
          </cell>
          <cell r="D760">
            <v>4500</v>
          </cell>
          <cell r="E760">
            <v>5000</v>
          </cell>
          <cell r="F760">
            <v>5500</v>
          </cell>
        </row>
        <row r="761">
          <cell r="A761" t="str">
            <v>SLS84250-YB-D2</v>
          </cell>
          <cell r="B761" t="str">
            <v>スティＡＳＳＹ</v>
          </cell>
          <cell r="C761">
            <v>2717</v>
          </cell>
          <cell r="D761">
            <v>4500</v>
          </cell>
          <cell r="E761">
            <v>4500</v>
          </cell>
          <cell r="F761">
            <v>5500</v>
          </cell>
        </row>
        <row r="762">
          <cell r="A762" t="str">
            <v>SLS84250-FA-100</v>
          </cell>
          <cell r="B762" t="str">
            <v>ﾄｰｼｮﾝﾊﾞｰﾕﾆｯﾄFAR</v>
          </cell>
          <cell r="C762">
            <v>478</v>
          </cell>
          <cell r="D762">
            <v>1000</v>
          </cell>
          <cell r="E762">
            <v>1000</v>
          </cell>
          <cell r="F762">
            <v>1000</v>
          </cell>
        </row>
        <row r="763">
          <cell r="A763" t="str">
            <v>SLS84250-FA-200</v>
          </cell>
          <cell r="B763" t="str">
            <v>ﾄｰｼｮﾝﾊﾞｰﾕﾆｯﾄFAL</v>
          </cell>
          <cell r="C763">
            <v>478</v>
          </cell>
          <cell r="D763">
            <v>1000</v>
          </cell>
          <cell r="E763">
            <v>1000</v>
          </cell>
          <cell r="F763">
            <v>1000</v>
          </cell>
        </row>
        <row r="764">
          <cell r="A764" t="str">
            <v>SLS84250-FB-100</v>
          </cell>
          <cell r="B764" t="str">
            <v>ﾄｰｼｮﾝﾊﾞｰﾕﾆｯﾄFBR</v>
          </cell>
          <cell r="C764">
            <v>511</v>
          </cell>
          <cell r="D764">
            <v>1000</v>
          </cell>
          <cell r="E764">
            <v>1000</v>
          </cell>
          <cell r="F764">
            <v>1100</v>
          </cell>
        </row>
        <row r="765">
          <cell r="A765" t="str">
            <v>SLS84250-FB-200</v>
          </cell>
          <cell r="B765" t="str">
            <v>ﾄｰｼｮﾝﾊﾞｰﾕﾆｯﾄFBL</v>
          </cell>
          <cell r="C765">
            <v>511</v>
          </cell>
          <cell r="D765">
            <v>1000</v>
          </cell>
          <cell r="E765">
            <v>1000</v>
          </cell>
          <cell r="F765">
            <v>1100</v>
          </cell>
        </row>
        <row r="766">
          <cell r="A766" t="str">
            <v>SLS84250-YA-200</v>
          </cell>
          <cell r="B766" t="str">
            <v>ﾄｰｼｮﾝﾊﾞｰﾕﾆｯﾄ</v>
          </cell>
          <cell r="C766">
            <v>246</v>
          </cell>
          <cell r="D766">
            <v>400</v>
          </cell>
          <cell r="E766">
            <v>450</v>
          </cell>
          <cell r="F766">
            <v>550</v>
          </cell>
        </row>
        <row r="767">
          <cell r="A767" t="str">
            <v>SLS84250-YB-200</v>
          </cell>
          <cell r="B767" t="str">
            <v>ﾄｰｼｮﾝﾊﾞｰﾕﾆｯﾄ</v>
          </cell>
          <cell r="C767">
            <v>245</v>
          </cell>
          <cell r="D767">
            <v>400</v>
          </cell>
          <cell r="E767">
            <v>450</v>
          </cell>
          <cell r="F767">
            <v>550</v>
          </cell>
        </row>
        <row r="768">
          <cell r="A768" t="str">
            <v>SLS84250-YA-100</v>
          </cell>
          <cell r="B768" t="str">
            <v>ﾄｰｼｮﾝﾊﾞｰﾕﾆｯﾄ</v>
          </cell>
          <cell r="C768">
            <v>246</v>
          </cell>
          <cell r="D768">
            <v>400</v>
          </cell>
          <cell r="E768">
            <v>450</v>
          </cell>
          <cell r="F768">
            <v>550</v>
          </cell>
        </row>
        <row r="769">
          <cell r="A769" t="str">
            <v>SLS84250-YB-100</v>
          </cell>
          <cell r="B769" t="str">
            <v>ﾄｰｼｮﾝﾊﾞｰﾕﾆｯﾄ</v>
          </cell>
          <cell r="C769">
            <v>245</v>
          </cell>
          <cell r="D769">
            <v>400</v>
          </cell>
          <cell r="E769">
            <v>450</v>
          </cell>
          <cell r="F769">
            <v>550</v>
          </cell>
        </row>
        <row r="770">
          <cell r="A770" t="str">
            <v>SLS84050FI-200</v>
          </cell>
          <cell r="B770" t="str">
            <v>ガイドスティサブＡＳＳＹＦＩＲ</v>
          </cell>
          <cell r="C770">
            <v>869</v>
          </cell>
          <cell r="D770">
            <v>1300</v>
          </cell>
          <cell r="E770">
            <v>1500</v>
          </cell>
          <cell r="F770">
            <v>1600</v>
          </cell>
        </row>
        <row r="771">
          <cell r="A771" t="str">
            <v>SLS84050FI-400</v>
          </cell>
          <cell r="B771" t="str">
            <v>ガイドスティサブＡＳＳＹＦＩＬ</v>
          </cell>
          <cell r="C771">
            <v>869</v>
          </cell>
          <cell r="D771">
            <v>1300</v>
          </cell>
          <cell r="E771">
            <v>1500</v>
          </cell>
          <cell r="F771">
            <v>1600</v>
          </cell>
        </row>
        <row r="772">
          <cell r="A772" t="str">
            <v>SLS84050FK-200</v>
          </cell>
          <cell r="B772" t="str">
            <v>ガイドスティサブＡＳＳＹＦＫＲ</v>
          </cell>
          <cell r="C772">
            <v>1144</v>
          </cell>
          <cell r="D772">
            <v>1700</v>
          </cell>
          <cell r="E772">
            <v>1800</v>
          </cell>
          <cell r="F772">
            <v>2000</v>
          </cell>
        </row>
        <row r="773">
          <cell r="A773" t="str">
            <v>SLS84050FK-400</v>
          </cell>
          <cell r="B773" t="str">
            <v>ガイドスティサブＡＳＳＹＦＫＬ</v>
          </cell>
          <cell r="C773">
            <v>1144</v>
          </cell>
          <cell r="D773">
            <v>1700</v>
          </cell>
          <cell r="E773">
            <v>1800</v>
          </cell>
          <cell r="F773">
            <v>2000</v>
          </cell>
        </row>
        <row r="774">
          <cell r="A774" t="str">
            <v>SLS84050FL-200</v>
          </cell>
          <cell r="B774" t="str">
            <v>ガイドスティサブＡＳＳＹＦＬＲ</v>
          </cell>
          <cell r="C774">
            <v>1214</v>
          </cell>
          <cell r="D774">
            <v>1800</v>
          </cell>
          <cell r="E774">
            <v>2000</v>
          </cell>
          <cell r="F774">
            <v>2300</v>
          </cell>
        </row>
        <row r="775">
          <cell r="A775" t="str">
            <v>SLS84050FL-400</v>
          </cell>
          <cell r="B775" t="str">
            <v>ガイドスティサブＡＳＳＹＦＬＬ</v>
          </cell>
          <cell r="C775">
            <v>1214</v>
          </cell>
          <cell r="D775">
            <v>1800</v>
          </cell>
          <cell r="E775">
            <v>2000</v>
          </cell>
          <cell r="F775">
            <v>2300</v>
          </cell>
        </row>
        <row r="776">
          <cell r="A776" t="str">
            <v>SLS84050FM-200</v>
          </cell>
          <cell r="B776" t="str">
            <v>ガイドスティサブＡＳＳＹＦＭＲ</v>
          </cell>
          <cell r="C776">
            <v>1269</v>
          </cell>
          <cell r="D776">
            <v>1900</v>
          </cell>
          <cell r="E776">
            <v>2100</v>
          </cell>
          <cell r="F776">
            <v>2400</v>
          </cell>
        </row>
        <row r="777">
          <cell r="A777" t="str">
            <v>SLS84050FM-400</v>
          </cell>
          <cell r="B777" t="str">
            <v>ガイドスティサブＡＳＳＹＦＭＬ</v>
          </cell>
          <cell r="C777">
            <v>1269</v>
          </cell>
          <cell r="D777">
            <v>1900</v>
          </cell>
          <cell r="E777">
            <v>2100</v>
          </cell>
          <cell r="F777">
            <v>2300</v>
          </cell>
        </row>
        <row r="778">
          <cell r="A778" t="str">
            <v>SLS84050TA-200</v>
          </cell>
          <cell r="B778" t="str">
            <v>ガイドスティサブＡＳＳＹＴＡＲ</v>
          </cell>
          <cell r="C778">
            <v>314</v>
          </cell>
          <cell r="D778">
            <v>550</v>
          </cell>
          <cell r="E778">
            <v>650</v>
          </cell>
          <cell r="F778">
            <v>750</v>
          </cell>
        </row>
        <row r="779">
          <cell r="A779" t="str">
            <v>SLS84050TA-400</v>
          </cell>
          <cell r="B779" t="str">
            <v>ガイドスティサブＡＳＳＹＴＡＬ</v>
          </cell>
          <cell r="C779">
            <v>314</v>
          </cell>
          <cell r="D779">
            <v>550</v>
          </cell>
          <cell r="E779">
            <v>650</v>
          </cell>
          <cell r="F779">
            <v>750</v>
          </cell>
        </row>
        <row r="780">
          <cell r="A780" t="str">
            <v>SLS84040-70</v>
          </cell>
          <cell r="B780" t="str">
            <v>貫通パイプ</v>
          </cell>
          <cell r="C780">
            <v>920</v>
          </cell>
          <cell r="D780">
            <v>1400</v>
          </cell>
          <cell r="E780">
            <v>1550</v>
          </cell>
          <cell r="F780">
            <v>1800</v>
          </cell>
        </row>
        <row r="781">
          <cell r="A781" t="str">
            <v>SLS84040-100</v>
          </cell>
          <cell r="B781" t="str">
            <v>貫通パイプ</v>
          </cell>
          <cell r="C781">
            <v>1030</v>
          </cell>
          <cell r="D781">
            <v>1550</v>
          </cell>
          <cell r="E781">
            <v>1800</v>
          </cell>
          <cell r="F781">
            <v>2000</v>
          </cell>
        </row>
        <row r="782">
          <cell r="A782" t="str">
            <v>SLS84040-130</v>
          </cell>
          <cell r="B782" t="str">
            <v>貫通パイプ</v>
          </cell>
          <cell r="C782">
            <v>1150</v>
          </cell>
          <cell r="D782">
            <v>1750</v>
          </cell>
          <cell r="E782">
            <v>1900</v>
          </cell>
          <cell r="F782">
            <v>2200</v>
          </cell>
        </row>
        <row r="783">
          <cell r="A783" t="str">
            <v>SLA30045</v>
          </cell>
          <cell r="B783" t="str">
            <v>コンジットクランプ13</v>
          </cell>
          <cell r="C783">
            <v>43</v>
          </cell>
          <cell r="D783">
            <v>100</v>
          </cell>
          <cell r="E783">
            <v>100</v>
          </cell>
          <cell r="F783">
            <v>120</v>
          </cell>
        </row>
        <row r="784">
          <cell r="A784" t="str">
            <v>SLA30222</v>
          </cell>
          <cell r="B784" t="str">
            <v>フレコン金具アッシー</v>
          </cell>
          <cell r="C784">
            <v>1429</v>
          </cell>
          <cell r="D784">
            <v>2000</v>
          </cell>
          <cell r="E784">
            <v>2400</v>
          </cell>
          <cell r="F784">
            <v>2500</v>
          </cell>
        </row>
        <row r="785">
          <cell r="A785" t="str">
            <v>SLA30022-SUB</v>
          </cell>
          <cell r="B785" t="str">
            <v>フレコン金具サブアッシー</v>
          </cell>
          <cell r="C785">
            <v>1435</v>
          </cell>
          <cell r="D785">
            <v>2000</v>
          </cell>
          <cell r="E785">
            <v>2400</v>
          </cell>
          <cell r="F785">
            <v>2500</v>
          </cell>
        </row>
        <row r="786">
          <cell r="A786" t="str">
            <v>SLB30222</v>
          </cell>
          <cell r="B786" t="str">
            <v>フレコン金具アッシーブロンズ</v>
          </cell>
          <cell r="C786">
            <v>1393</v>
          </cell>
          <cell r="D786">
            <v>2000</v>
          </cell>
          <cell r="E786">
            <v>2400</v>
          </cell>
          <cell r="F786">
            <v>2500</v>
          </cell>
        </row>
        <row r="787">
          <cell r="A787" t="str">
            <v>SLB30022-SUB</v>
          </cell>
          <cell r="B787" t="str">
            <v>フレコン金具サブアッシーブロンズ</v>
          </cell>
          <cell r="C787">
            <v>1397</v>
          </cell>
          <cell r="D787">
            <v>2000</v>
          </cell>
          <cell r="E787">
            <v>2400</v>
          </cell>
          <cell r="F787">
            <v>2500</v>
          </cell>
        </row>
        <row r="788">
          <cell r="A788" t="str">
            <v>SLA50108</v>
          </cell>
          <cell r="B788" t="str">
            <v>クランプB</v>
          </cell>
          <cell r="C788">
            <v>395</v>
          </cell>
          <cell r="D788">
            <v>1000</v>
          </cell>
          <cell r="E788">
            <v>1000</v>
          </cell>
          <cell r="F788">
            <v>1000</v>
          </cell>
        </row>
        <row r="789">
          <cell r="A789" t="str">
            <v>SLB25102-13</v>
          </cell>
          <cell r="B789" t="str">
            <v>ダブルクランプブロンズ</v>
          </cell>
          <cell r="C789">
            <v>139</v>
          </cell>
          <cell r="D789">
            <v>250</v>
          </cell>
          <cell r="E789">
            <v>250</v>
          </cell>
          <cell r="F789">
            <v>300</v>
          </cell>
        </row>
        <row r="790">
          <cell r="A790" t="str">
            <v>K840010TA</v>
          </cell>
          <cell r="B790" t="str">
            <v>ステイ用ブラケット</v>
          </cell>
          <cell r="C790">
            <v>175</v>
          </cell>
          <cell r="D790">
            <v>300</v>
          </cell>
          <cell r="E790">
            <v>300</v>
          </cell>
          <cell r="F790">
            <v>350</v>
          </cell>
        </row>
        <row r="791">
          <cell r="A791" t="str">
            <v>K840010TB</v>
          </cell>
          <cell r="B791" t="str">
            <v>ステイ用ブラケットブロンズ</v>
          </cell>
          <cell r="C791">
            <v>221</v>
          </cell>
          <cell r="D791">
            <v>350</v>
          </cell>
          <cell r="E791">
            <v>400</v>
          </cell>
          <cell r="F791">
            <v>450</v>
          </cell>
        </row>
        <row r="792">
          <cell r="A792" t="str">
            <v>K08-5103</v>
          </cell>
          <cell r="B792" t="str">
            <v>スベリ材</v>
          </cell>
          <cell r="C792">
            <v>399</v>
          </cell>
          <cell r="D792">
            <v>1000</v>
          </cell>
          <cell r="E792">
            <v>1000</v>
          </cell>
          <cell r="F792">
            <v>1000</v>
          </cell>
        </row>
        <row r="793">
          <cell r="A793" t="str">
            <v>SLA21050-A</v>
          </cell>
          <cell r="B793" t="str">
            <v>コネクターセット（三協・ブリーゼ）</v>
          </cell>
          <cell r="C793">
            <v>5059</v>
          </cell>
          <cell r="D793">
            <v>8000</v>
          </cell>
          <cell r="E793">
            <v>8500</v>
          </cell>
          <cell r="F793">
            <v>10000</v>
          </cell>
        </row>
        <row r="794">
          <cell r="A794" t="str">
            <v>SLB21050-A</v>
          </cell>
          <cell r="B794" t="str">
            <v>コネクターセットブロンズ（三協・ブリーゼ）</v>
          </cell>
          <cell r="C794">
            <v>5053</v>
          </cell>
          <cell r="D794">
            <v>8000</v>
          </cell>
          <cell r="E794">
            <v>8500</v>
          </cell>
          <cell r="F794">
            <v>10000</v>
          </cell>
        </row>
        <row r="795">
          <cell r="A795" t="str">
            <v>B40123C</v>
          </cell>
          <cell r="B795" t="str">
            <v>フレコン滑車Ｃ</v>
          </cell>
          <cell r="C795">
            <v>998</v>
          </cell>
          <cell r="D795">
            <v>1500</v>
          </cell>
          <cell r="E795">
            <v>2000</v>
          </cell>
          <cell r="F795">
            <v>2000</v>
          </cell>
        </row>
        <row r="796">
          <cell r="A796" t="str">
            <v>B40225AL</v>
          </cell>
          <cell r="B796" t="str">
            <v>フレコン滑車ＣＬ</v>
          </cell>
          <cell r="C796">
            <v>2240</v>
          </cell>
          <cell r="D796">
            <v>3500</v>
          </cell>
          <cell r="E796">
            <v>4000</v>
          </cell>
          <cell r="F796">
            <v>4500</v>
          </cell>
        </row>
        <row r="797">
          <cell r="A797" t="str">
            <v>B40225AR</v>
          </cell>
          <cell r="B797" t="str">
            <v>フレコン滑車ＣＲ</v>
          </cell>
          <cell r="C797">
            <v>2240</v>
          </cell>
          <cell r="D797">
            <v>3500</v>
          </cell>
          <cell r="E797">
            <v>4000</v>
          </cell>
          <cell r="F797">
            <v>4500</v>
          </cell>
        </row>
        <row r="798">
          <cell r="A798" t="str">
            <v>B40227A</v>
          </cell>
          <cell r="B798" t="str">
            <v>枠滑車ＳＢ</v>
          </cell>
          <cell r="C798">
            <v>676</v>
          </cell>
          <cell r="D798">
            <v>1500</v>
          </cell>
          <cell r="E798">
            <v>1500</v>
          </cell>
          <cell r="F798">
            <v>1500</v>
          </cell>
        </row>
        <row r="799">
          <cell r="A799" t="str">
            <v>B40228A</v>
          </cell>
          <cell r="B799" t="str">
            <v>障子滑車ＳＡ</v>
          </cell>
          <cell r="C799">
            <v>688</v>
          </cell>
          <cell r="D799">
            <v>1500</v>
          </cell>
          <cell r="E799">
            <v>1500</v>
          </cell>
          <cell r="F799">
            <v>1500</v>
          </cell>
        </row>
        <row r="800">
          <cell r="A800" t="str">
            <v>B40232AL</v>
          </cell>
          <cell r="B800" t="str">
            <v>内抜き滑車Ｌ</v>
          </cell>
          <cell r="C800">
            <v>1568</v>
          </cell>
          <cell r="D800">
            <v>2500</v>
          </cell>
          <cell r="E800">
            <v>3000</v>
          </cell>
          <cell r="F800">
            <v>3500</v>
          </cell>
        </row>
        <row r="801">
          <cell r="A801" t="str">
            <v>B40232AR</v>
          </cell>
          <cell r="B801" t="str">
            <v>内抜き滑車Ｒ</v>
          </cell>
          <cell r="C801">
            <v>1568</v>
          </cell>
          <cell r="D801">
            <v>2500</v>
          </cell>
          <cell r="E801">
            <v>3000</v>
          </cell>
          <cell r="F801">
            <v>3500</v>
          </cell>
        </row>
        <row r="802">
          <cell r="A802" t="str">
            <v>B40233A</v>
          </cell>
          <cell r="B802" t="str">
            <v>フレコン滑車Ｂ</v>
          </cell>
          <cell r="C802">
            <v>2016</v>
          </cell>
          <cell r="D802">
            <v>3500</v>
          </cell>
          <cell r="E802">
            <v>3500</v>
          </cell>
          <cell r="F802">
            <v>4000</v>
          </cell>
        </row>
        <row r="803">
          <cell r="A803" t="str">
            <v>B40234A</v>
          </cell>
          <cell r="B803" t="str">
            <v>障子滑車ＳＣ</v>
          </cell>
          <cell r="C803">
            <v>660</v>
          </cell>
          <cell r="D803">
            <v>1000</v>
          </cell>
          <cell r="E803">
            <v>1500</v>
          </cell>
          <cell r="F803">
            <v>1500</v>
          </cell>
        </row>
        <row r="804">
          <cell r="A804" t="str">
            <v>B40214A</v>
          </cell>
          <cell r="B804" t="str">
            <v>ケーシングキャップ</v>
          </cell>
          <cell r="C804">
            <v>512</v>
          </cell>
          <cell r="D804">
            <v>1000</v>
          </cell>
          <cell r="E804">
            <v>1000</v>
          </cell>
          <cell r="F804">
            <v>1000</v>
          </cell>
        </row>
        <row r="805">
          <cell r="A805" t="str">
            <v>B40214B</v>
          </cell>
          <cell r="B805" t="str">
            <v>ケーシングキャップ</v>
          </cell>
          <cell r="C805">
            <v>342</v>
          </cell>
          <cell r="D805">
            <v>1000</v>
          </cell>
          <cell r="E805">
            <v>1000</v>
          </cell>
          <cell r="F805">
            <v>1000</v>
          </cell>
        </row>
        <row r="806">
          <cell r="A806" t="str">
            <v>B40367</v>
          </cell>
          <cell r="B806" t="str">
            <v>プッシャーステイ</v>
          </cell>
          <cell r="C806">
            <v>2700</v>
          </cell>
          <cell r="D806">
            <v>4500</v>
          </cell>
          <cell r="E806">
            <v>4500</v>
          </cell>
          <cell r="F806">
            <v>5500</v>
          </cell>
        </row>
        <row r="807">
          <cell r="A807"/>
          <cell r="B807"/>
          <cell r="C807"/>
          <cell r="D807"/>
          <cell r="E807"/>
          <cell r="F807"/>
        </row>
        <row r="808">
          <cell r="A808"/>
          <cell r="B808"/>
          <cell r="C808"/>
          <cell r="D808"/>
          <cell r="E808"/>
          <cell r="F808"/>
        </row>
        <row r="809">
          <cell r="A809"/>
          <cell r="B809"/>
          <cell r="C809"/>
          <cell r="D809"/>
          <cell r="E809"/>
          <cell r="F809"/>
        </row>
        <row r="810">
          <cell r="A810"/>
          <cell r="B810"/>
          <cell r="C810"/>
          <cell r="D810"/>
          <cell r="E810"/>
          <cell r="F810"/>
        </row>
        <row r="811">
          <cell r="A811"/>
          <cell r="B811"/>
          <cell r="C811"/>
          <cell r="D811"/>
          <cell r="E811"/>
          <cell r="F811"/>
        </row>
        <row r="812">
          <cell r="A812"/>
          <cell r="B812"/>
          <cell r="C812"/>
          <cell r="D812"/>
          <cell r="E812"/>
          <cell r="F812"/>
        </row>
        <row r="813">
          <cell r="A813"/>
          <cell r="B813"/>
          <cell r="C813"/>
          <cell r="D813"/>
          <cell r="E813"/>
          <cell r="F813"/>
        </row>
        <row r="814">
          <cell r="A814"/>
          <cell r="B814"/>
          <cell r="C814"/>
          <cell r="D814"/>
          <cell r="E814"/>
          <cell r="F814"/>
        </row>
        <row r="815">
          <cell r="A815"/>
          <cell r="B815"/>
          <cell r="C815"/>
          <cell r="D815"/>
          <cell r="E815"/>
          <cell r="F815"/>
        </row>
        <row r="816">
          <cell r="A816"/>
          <cell r="B816"/>
          <cell r="C816"/>
          <cell r="D816"/>
          <cell r="E816"/>
          <cell r="F816"/>
        </row>
        <row r="817">
          <cell r="A817"/>
          <cell r="B817"/>
          <cell r="C817"/>
          <cell r="D817"/>
          <cell r="E817"/>
          <cell r="F817"/>
        </row>
        <row r="818">
          <cell r="A818"/>
          <cell r="B818"/>
          <cell r="C818"/>
          <cell r="D818"/>
          <cell r="E818"/>
          <cell r="F818"/>
        </row>
        <row r="819">
          <cell r="A819"/>
          <cell r="B819"/>
          <cell r="C819"/>
          <cell r="D819"/>
          <cell r="E819"/>
          <cell r="F819"/>
        </row>
        <row r="820">
          <cell r="A820"/>
          <cell r="B820"/>
          <cell r="C820"/>
          <cell r="D820"/>
          <cell r="E820"/>
          <cell r="F820"/>
        </row>
        <row r="821">
          <cell r="A821"/>
          <cell r="B821"/>
          <cell r="C821"/>
          <cell r="D821"/>
          <cell r="E821"/>
          <cell r="F821"/>
        </row>
        <row r="822">
          <cell r="A822"/>
          <cell r="B822"/>
          <cell r="C822"/>
          <cell r="D822"/>
          <cell r="E822"/>
          <cell r="F822"/>
        </row>
        <row r="823">
          <cell r="A823"/>
          <cell r="B823"/>
          <cell r="C823"/>
          <cell r="D823"/>
          <cell r="E823"/>
          <cell r="F823"/>
        </row>
        <row r="824">
          <cell r="A824"/>
          <cell r="B824"/>
          <cell r="C824"/>
          <cell r="D824"/>
          <cell r="E824"/>
          <cell r="F824"/>
        </row>
        <row r="825">
          <cell r="A825"/>
          <cell r="B825"/>
          <cell r="C825"/>
          <cell r="D825"/>
          <cell r="E825"/>
          <cell r="F825"/>
        </row>
        <row r="826">
          <cell r="A826"/>
          <cell r="B826"/>
          <cell r="C826"/>
          <cell r="D826"/>
          <cell r="E826"/>
          <cell r="F826"/>
        </row>
        <row r="827">
          <cell r="A827"/>
          <cell r="B827"/>
          <cell r="C827"/>
          <cell r="D827"/>
          <cell r="E827"/>
          <cell r="F827"/>
        </row>
        <row r="828">
          <cell r="A828"/>
          <cell r="B828"/>
          <cell r="C828"/>
          <cell r="D828"/>
          <cell r="E828"/>
          <cell r="F828"/>
        </row>
        <row r="829">
          <cell r="A829"/>
          <cell r="B829"/>
          <cell r="C829"/>
          <cell r="D829"/>
          <cell r="E829"/>
          <cell r="F829"/>
        </row>
        <row r="830">
          <cell r="A830"/>
          <cell r="B830"/>
          <cell r="C830"/>
          <cell r="D830"/>
          <cell r="E830"/>
          <cell r="F830"/>
        </row>
        <row r="831">
          <cell r="A831"/>
          <cell r="B831"/>
          <cell r="C831"/>
          <cell r="D831"/>
          <cell r="E831"/>
          <cell r="F831"/>
        </row>
      </sheetData>
      <sheetData sheetId="1"/>
      <sheetData sheetId="2"/>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420"/>
  <sheetViews>
    <sheetView tabSelected="1" zoomScaleNormal="100" workbookViewId="0">
      <selection activeCell="H4" sqref="H4:I4"/>
    </sheetView>
  </sheetViews>
  <sheetFormatPr defaultColWidth="9" defaultRowHeight="16.5" customHeight="1"/>
  <cols>
    <col min="1" max="1" width="9.625" style="24" customWidth="1"/>
    <col min="2" max="2" width="9.375" style="24" customWidth="1"/>
    <col min="3" max="3" width="8.75" style="24" customWidth="1"/>
    <col min="4" max="5" width="9.375" style="24" customWidth="1"/>
    <col min="6" max="6" width="7.375" style="24" customWidth="1"/>
    <col min="7" max="7" width="6" style="24" customWidth="1"/>
    <col min="8" max="9" width="11.375" style="24" customWidth="1"/>
    <col min="10" max="10" width="11.25" style="24" customWidth="1"/>
    <col min="11" max="14" width="9" style="24" customWidth="1"/>
    <col min="15" max="16" width="7.75" style="24" customWidth="1"/>
    <col min="17" max="20" width="9" style="24" customWidth="1"/>
    <col min="21" max="23" width="7.75" style="24" customWidth="1"/>
    <col min="24" max="26" width="7.625" style="24" customWidth="1"/>
    <col min="27" max="27" width="6.125" style="24" customWidth="1"/>
    <col min="28" max="28" width="7.125" style="24" customWidth="1"/>
    <col min="29" max="31" width="7.75" style="24" customWidth="1"/>
    <col min="32" max="35" width="3.625" style="24" customWidth="1"/>
    <col min="36" max="16384" width="9" style="24"/>
  </cols>
  <sheetData>
    <row r="1" spans="1:36" ht="15" customHeight="1">
      <c r="A1" s="309" t="s">
        <v>4</v>
      </c>
      <c r="B1" s="309"/>
      <c r="C1" s="309"/>
      <c r="D1" s="309"/>
      <c r="E1" s="309"/>
      <c r="F1" s="309"/>
      <c r="G1" s="309"/>
      <c r="H1" s="309"/>
      <c r="I1" s="309"/>
      <c r="J1" s="309"/>
      <c r="K1" s="23"/>
      <c r="L1" s="23"/>
      <c r="M1" s="23"/>
      <c r="N1" s="23"/>
      <c r="O1" s="23"/>
      <c r="P1" s="23"/>
      <c r="Q1" s="23"/>
      <c r="R1" s="23"/>
      <c r="S1" s="23"/>
      <c r="T1" s="23"/>
      <c r="U1" s="23"/>
      <c r="V1" s="23"/>
      <c r="W1" s="23"/>
      <c r="X1" s="23"/>
      <c r="Y1" s="23"/>
      <c r="Z1" s="23"/>
      <c r="AA1" s="23"/>
      <c r="AB1" s="23"/>
      <c r="AC1" s="23"/>
      <c r="AD1" s="23"/>
      <c r="AE1" s="23"/>
      <c r="AF1" s="23"/>
      <c r="AG1" s="23"/>
    </row>
    <row r="2" spans="1:36" ht="16.5" customHeight="1">
      <c r="A2" s="23"/>
      <c r="B2" s="23"/>
      <c r="C2" s="23"/>
      <c r="D2" s="23"/>
      <c r="E2" s="23"/>
      <c r="F2" s="23"/>
      <c r="G2" s="23"/>
      <c r="H2" s="286"/>
      <c r="I2" s="286"/>
      <c r="J2" s="23"/>
      <c r="K2" s="23"/>
      <c r="L2" s="23"/>
      <c r="M2" s="23"/>
      <c r="N2" s="23"/>
      <c r="O2" s="23"/>
      <c r="P2" s="23"/>
      <c r="Q2" s="23"/>
      <c r="R2" s="23"/>
      <c r="S2" s="23"/>
      <c r="T2" s="23"/>
      <c r="U2" s="23"/>
      <c r="V2" s="23"/>
      <c r="W2" s="23"/>
      <c r="X2" s="23"/>
      <c r="Y2" s="23"/>
      <c r="Z2" s="23"/>
      <c r="AA2" s="23"/>
      <c r="AB2" s="23"/>
      <c r="AC2" s="23"/>
      <c r="AD2" s="23"/>
      <c r="AE2" s="23"/>
      <c r="AF2" s="23"/>
      <c r="AG2" s="23"/>
    </row>
    <row r="3" spans="1:36" ht="16.5" customHeight="1">
      <c r="A3" s="311"/>
      <c r="B3" s="311"/>
      <c r="C3" s="311"/>
      <c r="D3" s="311"/>
      <c r="E3" s="311"/>
      <c r="F3" s="23"/>
      <c r="G3" s="23"/>
      <c r="H3" s="305" t="s">
        <v>1222</v>
      </c>
      <c r="I3" s="306"/>
      <c r="J3" s="306"/>
      <c r="K3" s="23"/>
      <c r="L3" s="23"/>
      <c r="M3" s="23"/>
      <c r="N3" s="23"/>
      <c r="O3" s="23"/>
      <c r="P3" s="23"/>
      <c r="Q3" s="23"/>
      <c r="R3" s="23"/>
      <c r="S3" s="23"/>
      <c r="T3" s="23"/>
      <c r="U3" s="23"/>
      <c r="V3" s="23"/>
      <c r="W3" s="23"/>
      <c r="X3" s="23"/>
      <c r="Y3" s="23"/>
      <c r="Z3" s="23"/>
      <c r="AA3" s="23"/>
      <c r="AB3" s="23"/>
      <c r="AC3" s="23"/>
      <c r="AD3" s="23"/>
      <c r="AE3" s="23"/>
      <c r="AF3" s="23"/>
      <c r="AG3" s="23"/>
    </row>
    <row r="4" spans="1:36" ht="16.5" customHeight="1">
      <c r="A4" s="280" t="s">
        <v>0</v>
      </c>
      <c r="B4" s="280"/>
      <c r="C4" s="280"/>
      <c r="D4" s="280"/>
      <c r="E4" s="280"/>
      <c r="F4" s="23"/>
      <c r="G4" s="23"/>
      <c r="H4" s="310"/>
      <c r="I4" s="310"/>
      <c r="J4" s="23"/>
      <c r="K4" s="23"/>
      <c r="L4" s="23"/>
      <c r="M4" s="23"/>
      <c r="N4" s="23"/>
      <c r="O4" s="23"/>
      <c r="P4" s="23"/>
      <c r="Q4" s="23"/>
      <c r="R4" s="23"/>
      <c r="S4" s="23"/>
      <c r="T4" s="23"/>
      <c r="U4" s="23"/>
      <c r="V4" s="23"/>
      <c r="W4" s="23"/>
      <c r="X4" s="23"/>
      <c r="Y4" s="23"/>
      <c r="Z4" s="23"/>
      <c r="AA4" s="23"/>
      <c r="AB4" s="23"/>
      <c r="AC4" s="23"/>
      <c r="AD4" s="23"/>
      <c r="AE4" s="23"/>
      <c r="AF4" s="23"/>
      <c r="AG4" s="23"/>
    </row>
    <row r="5" spans="1:36" ht="16.5" customHeight="1">
      <c r="A5" s="280" t="s">
        <v>1</v>
      </c>
      <c r="B5" s="280"/>
      <c r="C5" s="280"/>
      <c r="D5" s="280"/>
      <c r="E5" s="293"/>
      <c r="F5" s="23"/>
      <c r="G5" s="3"/>
      <c r="H5" s="294" t="s">
        <v>3</v>
      </c>
      <c r="I5" s="294"/>
      <c r="J5" s="298"/>
      <c r="K5" s="23"/>
      <c r="L5" s="23"/>
      <c r="M5" s="23"/>
      <c r="N5" s="23"/>
      <c r="O5" s="23"/>
      <c r="P5" s="23"/>
      <c r="Q5" s="23"/>
      <c r="R5" s="23"/>
      <c r="S5" s="23"/>
      <c r="T5" s="23"/>
      <c r="U5" s="23"/>
      <c r="V5" s="23"/>
      <c r="W5" s="23"/>
      <c r="X5" s="23"/>
      <c r="Y5" s="23"/>
      <c r="Z5" s="23"/>
      <c r="AA5" s="23"/>
      <c r="AB5" s="23"/>
      <c r="AC5" s="23"/>
      <c r="AD5" s="23"/>
      <c r="AE5" s="23"/>
      <c r="AF5" s="23"/>
      <c r="AG5" s="23"/>
      <c r="AJ5" s="1"/>
    </row>
    <row r="6" spans="1:36" ht="16.5" customHeight="1">
      <c r="A6" s="280" t="s">
        <v>2</v>
      </c>
      <c r="B6" s="280"/>
      <c r="C6" s="280"/>
      <c r="D6" s="280"/>
      <c r="E6" s="293"/>
      <c r="F6" s="23"/>
      <c r="G6" s="3"/>
      <c r="H6" s="294" t="s">
        <v>24</v>
      </c>
      <c r="I6" s="294"/>
      <c r="J6" s="3"/>
      <c r="K6" s="23"/>
      <c r="L6" s="23"/>
      <c r="M6" s="23"/>
      <c r="N6" s="23"/>
      <c r="O6" s="23"/>
      <c r="P6" s="23"/>
      <c r="Q6" s="23"/>
      <c r="R6" s="23"/>
      <c r="S6" s="23"/>
      <c r="T6" s="23"/>
      <c r="U6" s="23"/>
      <c r="V6" s="23"/>
      <c r="W6" s="23"/>
      <c r="X6" s="23"/>
      <c r="Y6" s="23"/>
      <c r="Z6" s="23"/>
      <c r="AA6" s="23"/>
      <c r="AB6" s="23"/>
      <c r="AC6" s="23"/>
      <c r="AD6" s="23"/>
      <c r="AE6" s="23"/>
      <c r="AF6" s="23"/>
      <c r="AG6" s="23"/>
      <c r="AJ6" s="1"/>
    </row>
    <row r="7" spans="1:36" ht="16.5" customHeight="1">
      <c r="A7" s="49"/>
      <c r="B7" s="49"/>
      <c r="C7" s="49"/>
      <c r="D7" s="54"/>
      <c r="E7" s="54"/>
      <c r="F7" s="23"/>
      <c r="G7" s="3"/>
      <c r="H7" s="294" t="s">
        <v>25</v>
      </c>
      <c r="I7" s="294"/>
      <c r="J7" s="294"/>
      <c r="K7" s="23"/>
      <c r="L7" s="23"/>
      <c r="M7" s="23"/>
      <c r="N7" s="23"/>
      <c r="O7" s="23"/>
      <c r="P7" s="23"/>
      <c r="Q7" s="23"/>
      <c r="R7" s="23"/>
      <c r="S7" s="23"/>
      <c r="T7" s="23"/>
      <c r="U7" s="23"/>
      <c r="V7" s="23"/>
      <c r="W7" s="23"/>
      <c r="X7" s="23"/>
      <c r="Y7" s="23"/>
      <c r="Z7" s="23"/>
      <c r="AA7" s="23"/>
      <c r="AB7" s="23"/>
      <c r="AC7" s="23"/>
      <c r="AD7" s="23"/>
      <c r="AE7" s="23"/>
      <c r="AF7" s="23"/>
      <c r="AG7" s="23"/>
      <c r="AJ7" s="1"/>
    </row>
    <row r="8" spans="1:36" ht="16.5" customHeight="1">
      <c r="A8" s="297"/>
      <c r="B8" s="297"/>
      <c r="C8" s="297"/>
      <c r="D8" s="297"/>
      <c r="E8" s="55" t="s">
        <v>30</v>
      </c>
      <c r="F8" s="23"/>
      <c r="G8" s="3"/>
      <c r="H8" s="294" t="s">
        <v>26</v>
      </c>
      <c r="I8" s="294"/>
      <c r="J8" s="298"/>
      <c r="K8" s="23"/>
      <c r="L8" s="23"/>
      <c r="M8" s="23"/>
      <c r="N8" s="23"/>
      <c r="O8" s="23"/>
      <c r="P8" s="23"/>
      <c r="Q8" s="23"/>
      <c r="R8" s="23"/>
      <c r="S8" s="23"/>
      <c r="T8" s="23"/>
      <c r="U8" s="23"/>
      <c r="V8" s="23"/>
      <c r="W8" s="23"/>
      <c r="X8" s="23"/>
      <c r="Y8" s="23"/>
      <c r="Z8" s="23"/>
      <c r="AA8" s="23"/>
      <c r="AB8" s="23"/>
      <c r="AC8" s="23"/>
      <c r="AD8" s="23"/>
      <c r="AE8" s="23"/>
      <c r="AF8" s="23"/>
      <c r="AG8" s="23"/>
      <c r="AJ8" s="1"/>
    </row>
    <row r="9" spans="1:36" ht="16.5" customHeight="1">
      <c r="A9" s="60"/>
      <c r="B9" s="51"/>
      <c r="C9" s="49"/>
      <c r="D9" s="65"/>
      <c r="E9" s="55" t="s">
        <v>5</v>
      </c>
      <c r="F9" s="23"/>
      <c r="G9" s="3"/>
      <c r="H9" s="294" t="s">
        <v>27</v>
      </c>
      <c r="I9" s="294"/>
      <c r="J9" s="298"/>
      <c r="K9" s="23"/>
      <c r="L9" s="23"/>
      <c r="M9" s="23"/>
      <c r="N9" s="23"/>
      <c r="O9" s="23"/>
      <c r="P9" s="23"/>
      <c r="Q9" s="23"/>
      <c r="R9" s="23"/>
      <c r="S9" s="23"/>
      <c r="T9" s="23"/>
      <c r="U9" s="23"/>
      <c r="V9" s="23"/>
      <c r="W9" s="23"/>
      <c r="X9" s="23"/>
      <c r="Y9" s="23"/>
      <c r="Z9" s="23"/>
      <c r="AA9" s="23"/>
      <c r="AB9" s="23"/>
      <c r="AC9" s="23"/>
      <c r="AD9" s="23"/>
      <c r="AE9" s="23"/>
      <c r="AF9" s="23"/>
      <c r="AG9" s="23"/>
      <c r="AJ9" s="1"/>
    </row>
    <row r="10" spans="1:36" ht="16.5" customHeight="1">
      <c r="A10" s="56"/>
      <c r="B10" s="56"/>
      <c r="C10" s="56"/>
      <c r="D10" s="49"/>
      <c r="E10" s="49"/>
      <c r="F10" s="23"/>
      <c r="G10" s="294" t="s">
        <v>431</v>
      </c>
      <c r="H10" s="294"/>
      <c r="I10" s="294"/>
      <c r="J10" s="294"/>
      <c r="K10" s="23"/>
      <c r="L10" s="23"/>
      <c r="M10" s="23"/>
      <c r="N10" s="23"/>
      <c r="O10" s="23"/>
      <c r="P10" s="23"/>
      <c r="Q10" s="23"/>
      <c r="R10" s="23"/>
      <c r="S10" s="23"/>
      <c r="T10" s="23"/>
      <c r="U10" s="23"/>
      <c r="V10" s="23"/>
      <c r="W10" s="23"/>
      <c r="X10" s="23"/>
      <c r="Y10" s="23"/>
      <c r="Z10" s="23"/>
      <c r="AA10" s="23"/>
      <c r="AB10" s="23"/>
      <c r="AC10" s="23"/>
      <c r="AD10" s="23"/>
      <c r="AE10" s="23"/>
      <c r="AF10" s="23"/>
      <c r="AG10" s="23"/>
    </row>
    <row r="11" spans="1:36" ht="16.5" customHeight="1">
      <c r="A11" s="57"/>
      <c r="B11" s="295" t="s">
        <v>1210</v>
      </c>
      <c r="C11" s="295"/>
      <c r="D11" s="295"/>
      <c r="E11" s="295"/>
      <c r="F11" s="23"/>
      <c r="G11" s="296"/>
      <c r="H11" s="296"/>
      <c r="I11" s="296"/>
      <c r="J11" s="296"/>
      <c r="K11" s="307" t="s">
        <v>363</v>
      </c>
      <c r="L11" s="308"/>
      <c r="M11" s="308"/>
      <c r="N11" s="241"/>
      <c r="O11" s="15" t="s">
        <v>50</v>
      </c>
      <c r="P11" s="15" t="s">
        <v>48</v>
      </c>
      <c r="S11" s="15"/>
      <c r="T11" s="15"/>
      <c r="U11" s="15" t="s">
        <v>50</v>
      </c>
      <c r="V11" s="15" t="s">
        <v>307</v>
      </c>
      <c r="W11" s="15" t="s">
        <v>48</v>
      </c>
      <c r="X11" s="299" t="s">
        <v>302</v>
      </c>
      <c r="Y11" s="300"/>
      <c r="Z11" s="300"/>
    </row>
    <row r="12" spans="1:36" ht="16.5" customHeight="1">
      <c r="A12" s="2" t="s">
        <v>6</v>
      </c>
      <c r="B12" s="262"/>
      <c r="C12" s="263"/>
      <c r="D12" s="263"/>
      <c r="E12" s="264"/>
      <c r="F12" s="23"/>
      <c r="G12" s="23"/>
      <c r="K12" s="255" t="s">
        <v>817</v>
      </c>
      <c r="L12" s="256"/>
      <c r="M12" s="257" t="s">
        <v>103</v>
      </c>
      <c r="N12" s="258"/>
      <c r="O12" s="38"/>
      <c r="P12" s="44"/>
      <c r="Q12" s="259" t="s">
        <v>853</v>
      </c>
      <c r="R12" s="260"/>
      <c r="S12" s="257" t="s">
        <v>150</v>
      </c>
      <c r="T12" s="258"/>
      <c r="U12" s="38"/>
      <c r="V12" s="38"/>
      <c r="W12" s="38"/>
      <c r="X12" s="255"/>
      <c r="Y12" s="272"/>
      <c r="Z12" s="257"/>
      <c r="AA12" s="258"/>
      <c r="AB12" s="61" t="s">
        <v>330</v>
      </c>
      <c r="AC12" s="61" t="s">
        <v>331</v>
      </c>
      <c r="AD12" s="62"/>
      <c r="AE12" s="61" t="s">
        <v>332</v>
      </c>
    </row>
    <row r="13" spans="1:36" ht="16.5" customHeight="1">
      <c r="A13" s="2" t="s">
        <v>7</v>
      </c>
      <c r="B13" s="262" t="s">
        <v>359</v>
      </c>
      <c r="C13" s="263"/>
      <c r="D13" s="263"/>
      <c r="E13" s="264"/>
      <c r="F13" s="23"/>
      <c r="G13" s="23"/>
      <c r="H13" s="315"/>
      <c r="I13" s="312" t="s">
        <v>425</v>
      </c>
      <c r="J13" s="315"/>
      <c r="K13" s="207" t="s">
        <v>819</v>
      </c>
      <c r="L13" s="249"/>
      <c r="M13" s="208" t="s">
        <v>105</v>
      </c>
      <c r="N13" s="208"/>
      <c r="O13" s="38"/>
      <c r="P13" s="38"/>
      <c r="Q13" s="259" t="s">
        <v>854</v>
      </c>
      <c r="R13" s="260"/>
      <c r="S13" s="257" t="s">
        <v>416</v>
      </c>
      <c r="T13" s="258"/>
      <c r="U13" s="38"/>
      <c r="V13" s="38"/>
      <c r="W13" s="38"/>
      <c r="X13" s="291" t="s">
        <v>328</v>
      </c>
      <c r="Y13" s="263"/>
      <c r="Z13" s="257" t="s">
        <v>329</v>
      </c>
      <c r="AA13" s="258"/>
      <c r="AB13" s="38">
        <v>5850</v>
      </c>
      <c r="AC13" s="38"/>
      <c r="AD13" s="38"/>
      <c r="AE13" s="38">
        <v>10000</v>
      </c>
    </row>
    <row r="14" spans="1:36" ht="16.5" customHeight="1">
      <c r="A14" s="2" t="s">
        <v>8</v>
      </c>
      <c r="B14" s="262" t="s">
        <v>21</v>
      </c>
      <c r="C14" s="263"/>
      <c r="D14" s="263"/>
      <c r="E14" s="264"/>
      <c r="F14" s="23"/>
      <c r="G14" s="23"/>
      <c r="H14" s="316"/>
      <c r="I14" s="313"/>
      <c r="J14" s="316"/>
      <c r="K14" s="206" t="s">
        <v>866</v>
      </c>
      <c r="L14" s="247"/>
      <c r="M14" s="208" t="s">
        <v>37</v>
      </c>
      <c r="N14" s="208"/>
      <c r="O14" s="38"/>
      <c r="P14" s="38"/>
      <c r="Q14" s="259" t="s">
        <v>867</v>
      </c>
      <c r="R14" s="260"/>
      <c r="S14" s="257" t="s">
        <v>417</v>
      </c>
      <c r="T14" s="258"/>
      <c r="U14" s="38"/>
      <c r="V14" s="38"/>
      <c r="W14" s="38"/>
      <c r="X14" s="291" t="s">
        <v>333</v>
      </c>
      <c r="Y14" s="263"/>
      <c r="Z14" s="257" t="s">
        <v>334</v>
      </c>
      <c r="AA14" s="258"/>
      <c r="AB14" s="38">
        <v>3850</v>
      </c>
      <c r="AC14" s="38"/>
      <c r="AD14" s="38"/>
      <c r="AE14" s="38"/>
    </row>
    <row r="15" spans="1:36" ht="16.5" customHeight="1">
      <c r="A15" s="2" t="s">
        <v>9</v>
      </c>
      <c r="B15" s="262" t="s">
        <v>22</v>
      </c>
      <c r="C15" s="263"/>
      <c r="D15" s="263"/>
      <c r="E15" s="264"/>
      <c r="F15" s="23"/>
      <c r="G15" s="23"/>
      <c r="H15" s="316"/>
      <c r="I15" s="313"/>
      <c r="J15" s="316"/>
      <c r="K15" s="206" t="s">
        <v>861</v>
      </c>
      <c r="L15" s="247"/>
      <c r="M15" s="208" t="s">
        <v>176</v>
      </c>
      <c r="N15" s="208"/>
      <c r="O15" s="38"/>
      <c r="P15" s="38"/>
      <c r="Q15" s="259" t="s">
        <v>855</v>
      </c>
      <c r="R15" s="260"/>
      <c r="S15" s="257" t="s">
        <v>171</v>
      </c>
      <c r="T15" s="258"/>
      <c r="U15" s="38"/>
      <c r="V15" s="38"/>
      <c r="W15" s="38"/>
      <c r="X15" s="291" t="s">
        <v>335</v>
      </c>
      <c r="Y15" s="263"/>
      <c r="Z15" s="257" t="s">
        <v>329</v>
      </c>
      <c r="AA15" s="258"/>
      <c r="AB15" s="38">
        <v>8050</v>
      </c>
      <c r="AC15" s="38"/>
      <c r="AD15" s="38"/>
      <c r="AE15" s="38">
        <v>13500</v>
      </c>
    </row>
    <row r="16" spans="1:36" ht="16.5" customHeight="1">
      <c r="A16" s="2" t="s">
        <v>10</v>
      </c>
      <c r="B16" s="262" t="s">
        <v>23</v>
      </c>
      <c r="C16" s="263"/>
      <c r="D16" s="263"/>
      <c r="E16" s="264"/>
      <c r="F16" s="23"/>
      <c r="G16" s="23"/>
      <c r="H16" s="317"/>
      <c r="I16" s="314"/>
      <c r="J16" s="317"/>
      <c r="K16" s="207" t="s">
        <v>820</v>
      </c>
      <c r="L16" s="249"/>
      <c r="M16" s="208" t="s">
        <v>103</v>
      </c>
      <c r="N16" s="208"/>
      <c r="O16" s="38"/>
      <c r="P16" s="38"/>
      <c r="Q16" s="259" t="s">
        <v>856</v>
      </c>
      <c r="R16" s="260"/>
      <c r="S16" s="257" t="s">
        <v>172</v>
      </c>
      <c r="T16" s="258"/>
      <c r="U16" s="38"/>
      <c r="V16" s="38"/>
      <c r="W16" s="38"/>
      <c r="X16" s="291" t="s">
        <v>336</v>
      </c>
      <c r="Y16" s="263"/>
      <c r="Z16" s="257" t="s">
        <v>334</v>
      </c>
      <c r="AA16" s="258"/>
      <c r="AB16" s="38">
        <v>4950</v>
      </c>
      <c r="AC16" s="38"/>
      <c r="AD16" s="38"/>
      <c r="AE16" s="38"/>
    </row>
    <row r="17" spans="1:31" ht="16.5" customHeight="1">
      <c r="A17" s="3"/>
      <c r="B17" s="49"/>
      <c r="C17" s="49"/>
      <c r="D17" s="49"/>
      <c r="E17" s="49"/>
      <c r="F17" s="23"/>
      <c r="G17" s="23"/>
      <c r="H17" s="23"/>
      <c r="I17" s="23"/>
      <c r="J17" s="23"/>
      <c r="K17" s="207" t="s">
        <v>821</v>
      </c>
      <c r="L17" s="249"/>
      <c r="M17" s="208" t="s">
        <v>99</v>
      </c>
      <c r="N17" s="208"/>
      <c r="O17" s="38"/>
      <c r="P17" s="38"/>
      <c r="Q17" s="259" t="s">
        <v>857</v>
      </c>
      <c r="R17" s="260"/>
      <c r="S17" s="257" t="s">
        <v>173</v>
      </c>
      <c r="T17" s="258"/>
      <c r="U17" s="38"/>
      <c r="V17" s="38"/>
      <c r="W17" s="38"/>
      <c r="X17" s="291"/>
      <c r="Y17" s="292"/>
      <c r="Z17" s="257"/>
      <c r="AA17" s="258"/>
      <c r="AB17" s="38"/>
      <c r="AC17" s="38"/>
      <c r="AD17" s="38"/>
      <c r="AE17" s="38"/>
    </row>
    <row r="18" spans="1:31" ht="16.5" customHeight="1">
      <c r="A18" s="2" t="s">
        <v>12</v>
      </c>
      <c r="B18" s="318"/>
      <c r="C18" s="319"/>
      <c r="D18" s="319"/>
      <c r="E18" s="320"/>
      <c r="F18" s="281" t="s">
        <v>13</v>
      </c>
      <c r="G18" s="282"/>
      <c r="H18" s="283"/>
      <c r="I18" s="284"/>
      <c r="J18" s="77"/>
      <c r="K18" s="207" t="s">
        <v>822</v>
      </c>
      <c r="L18" s="249"/>
      <c r="M18" s="208" t="s">
        <v>110</v>
      </c>
      <c r="N18" s="208"/>
      <c r="O18" s="38"/>
      <c r="P18" s="38"/>
      <c r="Q18" s="259" t="s">
        <v>858</v>
      </c>
      <c r="R18" s="260"/>
      <c r="S18" s="257" t="s">
        <v>174</v>
      </c>
      <c r="T18" s="258"/>
      <c r="U18" s="38"/>
      <c r="V18" s="38"/>
      <c r="W18" s="38"/>
      <c r="X18" s="291"/>
      <c r="Y18" s="292"/>
      <c r="Z18" s="257"/>
      <c r="AA18" s="258"/>
      <c r="AB18" s="38"/>
      <c r="AC18" s="38"/>
      <c r="AD18" s="38"/>
      <c r="AE18" s="38"/>
    </row>
    <row r="19" spans="1:31" ht="16.5" customHeight="1">
      <c r="A19" s="49"/>
      <c r="B19" s="49"/>
      <c r="C19" s="49"/>
      <c r="D19" s="49"/>
      <c r="E19" s="49"/>
      <c r="F19" s="23"/>
      <c r="G19" s="23"/>
      <c r="H19" s="23"/>
      <c r="I19" s="304"/>
      <c r="J19" s="304"/>
      <c r="K19" s="207" t="s">
        <v>823</v>
      </c>
      <c r="L19" s="249"/>
      <c r="M19" s="208" t="s">
        <v>111</v>
      </c>
      <c r="N19" s="208"/>
      <c r="O19" s="43"/>
      <c r="P19" s="43"/>
      <c r="Q19" s="255" t="s">
        <v>1203</v>
      </c>
      <c r="R19" s="272"/>
      <c r="S19" s="257" t="s">
        <v>362</v>
      </c>
      <c r="T19" s="258"/>
      <c r="U19" s="38"/>
      <c r="V19" s="38"/>
      <c r="W19" s="38"/>
      <c r="X19" s="291"/>
      <c r="Y19" s="292"/>
      <c r="Z19" s="257"/>
      <c r="AA19" s="258"/>
      <c r="AB19" s="38"/>
      <c r="AC19" s="38"/>
      <c r="AD19" s="38"/>
      <c r="AE19" s="38"/>
    </row>
    <row r="20" spans="1:31" ht="16.5" customHeight="1">
      <c r="A20" s="26" t="s">
        <v>14</v>
      </c>
      <c r="B20" s="301" t="s">
        <v>20</v>
      </c>
      <c r="C20" s="302"/>
      <c r="D20" s="302"/>
      <c r="E20" s="303"/>
      <c r="F20" s="27" t="s">
        <v>19</v>
      </c>
      <c r="G20" s="27" t="s">
        <v>18</v>
      </c>
      <c r="H20" s="27" t="s">
        <v>29</v>
      </c>
      <c r="I20" s="27" t="s">
        <v>16</v>
      </c>
      <c r="J20" s="27" t="s">
        <v>17</v>
      </c>
      <c r="K20" s="207" t="s">
        <v>824</v>
      </c>
      <c r="L20" s="249"/>
      <c r="M20" s="208" t="s">
        <v>114</v>
      </c>
      <c r="N20" s="208"/>
      <c r="O20" s="38"/>
      <c r="P20" s="38"/>
      <c r="Q20" s="259" t="s">
        <v>859</v>
      </c>
      <c r="R20" s="260"/>
      <c r="S20" s="257" t="s">
        <v>35</v>
      </c>
      <c r="T20" s="258"/>
      <c r="U20" s="38"/>
      <c r="V20" s="38"/>
      <c r="W20" s="38"/>
      <c r="X20" s="291"/>
      <c r="Y20" s="292"/>
      <c r="Z20" s="257"/>
      <c r="AA20" s="258"/>
      <c r="AB20" s="38"/>
      <c r="AC20" s="38"/>
      <c r="AD20" s="38"/>
      <c r="AE20" s="38"/>
    </row>
    <row r="21" spans="1:31" ht="16.5" customHeight="1">
      <c r="A21" s="202"/>
      <c r="B21" s="253"/>
      <c r="C21" s="254"/>
      <c r="D21" s="254"/>
      <c r="E21" s="254"/>
      <c r="F21" s="120"/>
      <c r="G21" s="120"/>
      <c r="H21" s="120"/>
      <c r="I21" s="120"/>
      <c r="J21" s="120"/>
      <c r="K21" s="207" t="s">
        <v>825</v>
      </c>
      <c r="L21" s="249"/>
      <c r="M21" s="208" t="s">
        <v>115</v>
      </c>
      <c r="N21" s="208"/>
      <c r="O21" s="38"/>
      <c r="P21" s="38"/>
      <c r="Q21" s="259" t="s">
        <v>860</v>
      </c>
      <c r="R21" s="260"/>
      <c r="S21" s="257" t="s">
        <v>175</v>
      </c>
      <c r="T21" s="258"/>
      <c r="U21" s="38"/>
      <c r="V21" s="38"/>
      <c r="W21" s="38"/>
      <c r="X21" s="291"/>
      <c r="Y21" s="292"/>
      <c r="Z21" s="257"/>
      <c r="AA21" s="258"/>
      <c r="AB21" s="38"/>
      <c r="AC21" s="38"/>
      <c r="AD21" s="38"/>
      <c r="AE21" s="38"/>
    </row>
    <row r="22" spans="1:31" ht="16.5" customHeight="1">
      <c r="A22" s="202"/>
      <c r="B22" s="253"/>
      <c r="C22" s="254"/>
      <c r="D22" s="268"/>
      <c r="E22" s="269"/>
      <c r="F22" s="16"/>
      <c r="G22" s="16"/>
      <c r="H22" s="17"/>
      <c r="I22" s="17"/>
      <c r="J22" s="102"/>
      <c r="K22" s="207" t="s">
        <v>826</v>
      </c>
      <c r="L22" s="249"/>
      <c r="M22" s="208" t="s">
        <v>40</v>
      </c>
      <c r="N22" s="208"/>
      <c r="O22" s="38"/>
      <c r="P22" s="38"/>
      <c r="Q22" s="259" t="s">
        <v>862</v>
      </c>
      <c r="R22" s="260"/>
      <c r="S22" s="257" t="s">
        <v>53</v>
      </c>
      <c r="T22" s="258"/>
      <c r="U22" s="38"/>
      <c r="V22" s="38"/>
      <c r="W22" s="38"/>
    </row>
    <row r="23" spans="1:31" ht="16.5" customHeight="1">
      <c r="A23" s="13"/>
      <c r="B23" s="259"/>
      <c r="C23" s="260"/>
      <c r="D23" s="260"/>
      <c r="E23" s="261"/>
      <c r="F23" s="16"/>
      <c r="G23" s="16"/>
      <c r="H23" s="17"/>
      <c r="I23" s="17"/>
      <c r="J23" s="103"/>
      <c r="K23" s="207" t="s">
        <v>827</v>
      </c>
      <c r="L23" s="249"/>
      <c r="M23" s="208" t="s">
        <v>41</v>
      </c>
      <c r="N23" s="208"/>
      <c r="O23" s="38"/>
      <c r="P23" s="38"/>
      <c r="Q23" s="259" t="s">
        <v>863</v>
      </c>
      <c r="R23" s="260"/>
      <c r="S23" s="257" t="s">
        <v>259</v>
      </c>
      <c r="T23" s="258"/>
      <c r="U23" s="38"/>
      <c r="V23" s="38"/>
      <c r="W23" s="38"/>
      <c r="X23" s="299" t="s">
        <v>302</v>
      </c>
      <c r="Y23" s="300"/>
      <c r="Z23" s="300"/>
    </row>
    <row r="24" spans="1:31" ht="16.5" customHeight="1">
      <c r="A24" s="13"/>
      <c r="B24" s="259"/>
      <c r="C24" s="260"/>
      <c r="D24" s="260"/>
      <c r="E24" s="261"/>
      <c r="F24" s="16"/>
      <c r="G24" s="16"/>
      <c r="H24" s="17"/>
      <c r="I24" s="17"/>
      <c r="J24" s="103"/>
      <c r="K24" s="206" t="s">
        <v>828</v>
      </c>
      <c r="L24" s="247"/>
      <c r="M24" s="208" t="s">
        <v>140</v>
      </c>
      <c r="N24" s="208"/>
      <c r="O24" s="38"/>
      <c r="P24" s="38"/>
      <c r="Q24" s="259" t="s">
        <v>864</v>
      </c>
      <c r="R24" s="260"/>
      <c r="S24" s="257" t="s">
        <v>141</v>
      </c>
      <c r="T24" s="258"/>
      <c r="U24" s="38"/>
      <c r="V24" s="38"/>
      <c r="W24" s="38"/>
      <c r="X24" s="47" t="s">
        <v>265</v>
      </c>
      <c r="Y24" s="52" t="s">
        <v>266</v>
      </c>
      <c r="Z24" s="47" t="s">
        <v>373</v>
      </c>
    </row>
    <row r="25" spans="1:31" ht="16.5" customHeight="1">
      <c r="A25" s="13"/>
      <c r="B25" s="259"/>
      <c r="C25" s="260"/>
      <c r="D25" s="260"/>
      <c r="E25" s="261"/>
      <c r="F25" s="16"/>
      <c r="G25" s="16"/>
      <c r="H25" s="17"/>
      <c r="I25" s="17"/>
      <c r="J25" s="103"/>
      <c r="K25" s="206" t="s">
        <v>829</v>
      </c>
      <c r="L25" s="247"/>
      <c r="M25" s="208" t="s">
        <v>141</v>
      </c>
      <c r="N25" s="208"/>
      <c r="O25" s="38"/>
      <c r="P25" s="38"/>
      <c r="Q25" s="259" t="s">
        <v>865</v>
      </c>
      <c r="R25" s="260"/>
      <c r="S25" s="257" t="s">
        <v>54</v>
      </c>
      <c r="T25" s="258"/>
      <c r="U25" s="38"/>
      <c r="V25" s="38"/>
      <c r="W25" s="38"/>
      <c r="X25" s="290" t="s">
        <v>260</v>
      </c>
      <c r="Y25" s="290"/>
      <c r="Z25" s="290"/>
    </row>
    <row r="26" spans="1:31" ht="16.5" customHeight="1">
      <c r="A26" s="13"/>
      <c r="B26" s="259"/>
      <c r="C26" s="260"/>
      <c r="D26" s="260"/>
      <c r="E26" s="261"/>
      <c r="F26" s="16"/>
      <c r="G26" s="16"/>
      <c r="H26" s="17"/>
      <c r="I26" s="17"/>
      <c r="J26" s="103"/>
      <c r="K26" s="206" t="s">
        <v>830</v>
      </c>
      <c r="L26" s="247"/>
      <c r="M26" s="208" t="s">
        <v>141</v>
      </c>
      <c r="N26" s="208"/>
      <c r="O26" s="38"/>
      <c r="P26" s="38"/>
      <c r="Q26" s="276" t="s">
        <v>344</v>
      </c>
      <c r="R26" s="277"/>
      <c r="S26" s="274" t="s">
        <v>55</v>
      </c>
      <c r="T26" s="275"/>
      <c r="U26" s="72"/>
      <c r="V26" s="72"/>
      <c r="W26" s="72"/>
      <c r="X26" s="46" t="s">
        <v>303</v>
      </c>
      <c r="Y26" s="46" t="s">
        <v>313</v>
      </c>
    </row>
    <row r="27" spans="1:31" ht="16.5" customHeight="1">
      <c r="A27" s="13"/>
      <c r="B27" s="259"/>
      <c r="C27" s="260"/>
      <c r="D27" s="260"/>
      <c r="E27" s="261"/>
      <c r="F27" s="16"/>
      <c r="G27" s="16"/>
      <c r="H27" s="17"/>
      <c r="I27" s="17"/>
      <c r="J27" s="103"/>
      <c r="K27" s="206" t="s">
        <v>831</v>
      </c>
      <c r="L27" s="247"/>
      <c r="M27" s="208" t="s">
        <v>140</v>
      </c>
      <c r="N27" s="208"/>
      <c r="O27" s="38"/>
      <c r="P27" s="38"/>
      <c r="Q27" s="276" t="s">
        <v>162</v>
      </c>
      <c r="R27" s="277"/>
      <c r="S27" s="274" t="s">
        <v>177</v>
      </c>
      <c r="T27" s="275"/>
      <c r="U27" s="72"/>
      <c r="V27" s="72"/>
      <c r="W27" s="72"/>
      <c r="X27" s="290" t="s">
        <v>314</v>
      </c>
      <c r="Y27" s="290"/>
      <c r="Z27" s="290"/>
    </row>
    <row r="28" spans="1:31" ht="16.5" customHeight="1">
      <c r="A28" s="13"/>
      <c r="B28" s="259"/>
      <c r="C28" s="260"/>
      <c r="D28" s="260"/>
      <c r="E28" s="261"/>
      <c r="F28" s="16"/>
      <c r="G28" s="16"/>
      <c r="H28" s="17"/>
      <c r="I28" s="17"/>
      <c r="J28" s="103"/>
      <c r="K28" s="206" t="s">
        <v>832</v>
      </c>
      <c r="L28" s="247"/>
      <c r="M28" s="208" t="s">
        <v>42</v>
      </c>
      <c r="N28" s="208"/>
      <c r="O28" s="38"/>
      <c r="P28" s="38"/>
      <c r="Q28" s="276" t="s">
        <v>163</v>
      </c>
      <c r="R28" s="277"/>
      <c r="S28" s="274" t="s">
        <v>178</v>
      </c>
      <c r="T28" s="275"/>
      <c r="U28" s="72"/>
      <c r="V28" s="72"/>
      <c r="W28" s="72"/>
      <c r="Y28" s="45" t="s">
        <v>262</v>
      </c>
    </row>
    <row r="29" spans="1:31" ht="16.5" customHeight="1">
      <c r="A29" s="13"/>
      <c r="B29" s="259"/>
      <c r="C29" s="260"/>
      <c r="D29" s="260"/>
      <c r="E29" s="261"/>
      <c r="F29" s="16"/>
      <c r="G29" s="16"/>
      <c r="H29" s="17"/>
      <c r="I29" s="17"/>
      <c r="J29" s="103"/>
      <c r="K29" s="206" t="s">
        <v>833</v>
      </c>
      <c r="L29" s="247"/>
      <c r="M29" s="208" t="s">
        <v>43</v>
      </c>
      <c r="N29" s="208"/>
      <c r="O29" s="38"/>
      <c r="P29" s="38"/>
      <c r="Q29" s="276" t="s">
        <v>164</v>
      </c>
      <c r="R29" s="277"/>
      <c r="S29" s="274" t="s">
        <v>56</v>
      </c>
      <c r="T29" s="275"/>
      <c r="U29" s="72"/>
      <c r="V29" s="72"/>
      <c r="W29" s="72"/>
      <c r="X29" s="322" t="s">
        <v>258</v>
      </c>
      <c r="Y29" s="322"/>
      <c r="Z29" s="322"/>
      <c r="AA29" s="323"/>
    </row>
    <row r="30" spans="1:31" ht="16.5" customHeight="1">
      <c r="A30" s="13"/>
      <c r="B30" s="259"/>
      <c r="C30" s="260"/>
      <c r="D30" s="260"/>
      <c r="E30" s="261"/>
      <c r="F30" s="16"/>
      <c r="G30" s="16"/>
      <c r="H30" s="17"/>
      <c r="I30" s="17"/>
      <c r="J30" s="103"/>
      <c r="K30" s="206" t="s">
        <v>834</v>
      </c>
      <c r="L30" s="247"/>
      <c r="M30" s="208" t="s">
        <v>44</v>
      </c>
      <c r="N30" s="208"/>
      <c r="O30" s="38"/>
      <c r="P30" s="38"/>
      <c r="Q30" s="276" t="s">
        <v>165</v>
      </c>
      <c r="R30" s="277"/>
      <c r="S30" s="274" t="s">
        <v>57</v>
      </c>
      <c r="T30" s="275"/>
      <c r="U30" s="72"/>
      <c r="V30" s="72"/>
      <c r="W30" s="72"/>
      <c r="Y30" s="50" t="s">
        <v>257</v>
      </c>
    </row>
    <row r="31" spans="1:31" ht="16.5" customHeight="1">
      <c r="A31" s="13"/>
      <c r="B31" s="259"/>
      <c r="C31" s="260"/>
      <c r="D31" s="260"/>
      <c r="E31" s="261"/>
      <c r="F31" s="16"/>
      <c r="G31" s="16"/>
      <c r="H31" s="17"/>
      <c r="I31" s="17"/>
      <c r="J31" s="16"/>
      <c r="K31" s="206" t="s">
        <v>835</v>
      </c>
      <c r="L31" s="247"/>
      <c r="M31" s="208" t="s">
        <v>45</v>
      </c>
      <c r="N31" s="208"/>
      <c r="O31" s="38"/>
      <c r="P31" s="38"/>
      <c r="Q31" s="276" t="s">
        <v>166</v>
      </c>
      <c r="R31" s="277"/>
      <c r="S31" s="274" t="s">
        <v>58</v>
      </c>
      <c r="T31" s="275"/>
      <c r="U31" s="72"/>
      <c r="V31" s="72"/>
      <c r="W31" s="72"/>
      <c r="X31" s="321" t="s">
        <v>356</v>
      </c>
      <c r="Y31" s="321"/>
      <c r="Z31" s="321"/>
      <c r="AA31" s="321"/>
    </row>
    <row r="32" spans="1:31" ht="16.5" customHeight="1">
      <c r="A32" s="13"/>
      <c r="B32" s="259"/>
      <c r="C32" s="260"/>
      <c r="D32" s="260"/>
      <c r="E32" s="261"/>
      <c r="F32" s="16"/>
      <c r="G32" s="16"/>
      <c r="H32" s="17"/>
      <c r="I32" s="17"/>
      <c r="J32" s="16"/>
      <c r="K32" s="206" t="s">
        <v>836</v>
      </c>
      <c r="L32" s="247"/>
      <c r="M32" s="208" t="s">
        <v>389</v>
      </c>
      <c r="N32" s="208"/>
      <c r="O32" s="38"/>
      <c r="P32" s="38"/>
      <c r="Q32" s="276" t="s">
        <v>60</v>
      </c>
      <c r="R32" s="277"/>
      <c r="S32" s="274" t="s">
        <v>59</v>
      </c>
      <c r="T32" s="275"/>
      <c r="U32" s="72"/>
      <c r="V32" s="72"/>
      <c r="W32" s="72"/>
      <c r="Y32" s="47" t="s">
        <v>357</v>
      </c>
    </row>
    <row r="33" spans="1:31" ht="16.5" customHeight="1">
      <c r="A33" s="13"/>
      <c r="B33" s="259"/>
      <c r="C33" s="260"/>
      <c r="D33" s="260"/>
      <c r="E33" s="261"/>
      <c r="F33" s="16"/>
      <c r="G33" s="16"/>
      <c r="H33" s="17"/>
      <c r="I33" s="17"/>
      <c r="J33" s="16"/>
      <c r="K33" s="206" t="s">
        <v>837</v>
      </c>
      <c r="L33" s="247"/>
      <c r="M33" s="208" t="s">
        <v>142</v>
      </c>
      <c r="N33" s="208"/>
      <c r="O33" s="38"/>
      <c r="P33" s="38"/>
      <c r="Q33" s="276" t="s">
        <v>264</v>
      </c>
      <c r="R33" s="277"/>
      <c r="S33" s="274" t="s">
        <v>58</v>
      </c>
      <c r="T33" s="275"/>
      <c r="U33" s="72"/>
      <c r="V33" s="72"/>
      <c r="W33" s="72"/>
      <c r="X33" s="324" t="s">
        <v>304</v>
      </c>
      <c r="Y33" s="305"/>
      <c r="Z33" s="305"/>
      <c r="AA33" s="8" t="s">
        <v>305</v>
      </c>
    </row>
    <row r="34" spans="1:31" ht="16.5" customHeight="1">
      <c r="A34" s="13"/>
      <c r="B34" s="259"/>
      <c r="C34" s="260"/>
      <c r="D34" s="325"/>
      <c r="E34" s="326"/>
      <c r="F34" s="16"/>
      <c r="G34" s="16"/>
      <c r="H34" s="17"/>
      <c r="I34" s="17"/>
      <c r="J34" s="16"/>
      <c r="K34" s="206" t="s">
        <v>838</v>
      </c>
      <c r="L34" s="247"/>
      <c r="M34" s="208" t="s">
        <v>46</v>
      </c>
      <c r="N34" s="208"/>
      <c r="O34" s="38"/>
      <c r="P34" s="38"/>
      <c r="Q34" s="276" t="s">
        <v>168</v>
      </c>
      <c r="R34" s="277"/>
      <c r="S34" s="274" t="s">
        <v>61</v>
      </c>
      <c r="T34" s="275"/>
      <c r="U34" s="72"/>
      <c r="V34" s="72"/>
      <c r="W34" s="72"/>
    </row>
    <row r="35" spans="1:31" ht="16.5" customHeight="1">
      <c r="A35" s="13"/>
      <c r="B35" s="259"/>
      <c r="C35" s="260"/>
      <c r="D35" s="260"/>
      <c r="E35" s="261"/>
      <c r="F35" s="16"/>
      <c r="G35" s="16"/>
      <c r="H35" s="17"/>
      <c r="I35" s="17"/>
      <c r="J35" s="16"/>
      <c r="K35" s="206" t="s">
        <v>839</v>
      </c>
      <c r="L35" s="247"/>
      <c r="M35" s="208" t="s">
        <v>47</v>
      </c>
      <c r="N35" s="208"/>
      <c r="O35" s="38"/>
      <c r="P35" s="38"/>
      <c r="Q35" s="276" t="s">
        <v>167</v>
      </c>
      <c r="R35" s="277"/>
      <c r="S35" s="274" t="s">
        <v>179</v>
      </c>
      <c r="T35" s="275"/>
      <c r="U35" s="72"/>
      <c r="V35" s="72"/>
      <c r="W35" s="72"/>
    </row>
    <row r="36" spans="1:31" ht="16.5" customHeight="1">
      <c r="A36" s="13"/>
      <c r="B36" s="259"/>
      <c r="C36" s="260"/>
      <c r="D36" s="260"/>
      <c r="E36" s="261"/>
      <c r="F36" s="16"/>
      <c r="G36" s="16"/>
      <c r="H36" s="17"/>
      <c r="I36" s="17"/>
      <c r="J36" s="16"/>
      <c r="K36" s="206" t="s">
        <v>840</v>
      </c>
      <c r="L36" s="247"/>
      <c r="M36" s="208" t="s">
        <v>318</v>
      </c>
      <c r="N36" s="208"/>
      <c r="O36" s="38"/>
      <c r="P36" s="38"/>
      <c r="Q36" s="276" t="s">
        <v>1204</v>
      </c>
      <c r="R36" s="277"/>
      <c r="S36" s="274" t="s">
        <v>301</v>
      </c>
      <c r="T36" s="275"/>
      <c r="U36" s="72"/>
      <c r="V36" s="72"/>
      <c r="W36" s="72"/>
    </row>
    <row r="37" spans="1:31" ht="16.5" customHeight="1">
      <c r="A37" s="13"/>
      <c r="B37" s="259"/>
      <c r="C37" s="260"/>
      <c r="D37" s="260"/>
      <c r="E37" s="261"/>
      <c r="F37" s="16"/>
      <c r="G37" s="16"/>
      <c r="H37" s="17"/>
      <c r="I37" s="17"/>
      <c r="J37" s="16"/>
      <c r="K37" s="206" t="s">
        <v>841</v>
      </c>
      <c r="L37" s="247"/>
      <c r="M37" s="208" t="s">
        <v>144</v>
      </c>
      <c r="N37" s="208"/>
      <c r="O37" s="38"/>
      <c r="P37" s="38"/>
      <c r="Q37" s="276" t="s">
        <v>1205</v>
      </c>
      <c r="R37" s="277"/>
      <c r="S37" s="274" t="s">
        <v>323</v>
      </c>
      <c r="T37" s="275"/>
      <c r="U37" s="72"/>
      <c r="V37" s="72"/>
      <c r="W37" s="72"/>
    </row>
    <row r="38" spans="1:31" ht="16.5" customHeight="1">
      <c r="A38" s="13"/>
      <c r="B38" s="259"/>
      <c r="C38" s="260"/>
      <c r="D38" s="260"/>
      <c r="E38" s="261"/>
      <c r="F38" s="16"/>
      <c r="G38" s="16"/>
      <c r="H38" s="17"/>
      <c r="I38" s="17"/>
      <c r="J38" s="16"/>
      <c r="K38" s="206" t="s">
        <v>842</v>
      </c>
      <c r="L38" s="247"/>
      <c r="M38" s="208" t="s">
        <v>144</v>
      </c>
      <c r="N38" s="208"/>
      <c r="O38" s="38"/>
      <c r="P38" s="38"/>
      <c r="Q38" s="276" t="s">
        <v>1206</v>
      </c>
      <c r="R38" s="277"/>
      <c r="S38" s="274" t="s">
        <v>324</v>
      </c>
      <c r="T38" s="275"/>
      <c r="U38" s="72"/>
      <c r="V38" s="72"/>
      <c r="W38" s="72"/>
    </row>
    <row r="39" spans="1:31" ht="16.5" customHeight="1">
      <c r="A39" s="13"/>
      <c r="B39" s="259"/>
      <c r="C39" s="260"/>
      <c r="D39" s="325"/>
      <c r="E39" s="326"/>
      <c r="F39" s="16"/>
      <c r="G39" s="16"/>
      <c r="H39" s="17"/>
      <c r="I39" s="17"/>
      <c r="J39" s="16"/>
      <c r="K39" s="206" t="s">
        <v>843</v>
      </c>
      <c r="L39" s="247"/>
      <c r="M39" s="208" t="s">
        <v>144</v>
      </c>
      <c r="N39" s="208"/>
      <c r="O39" s="38"/>
      <c r="P39" s="38"/>
      <c r="Q39" s="276" t="s">
        <v>1207</v>
      </c>
      <c r="R39" s="277"/>
      <c r="S39" s="274" t="s">
        <v>325</v>
      </c>
      <c r="T39" s="275"/>
      <c r="U39" s="72"/>
      <c r="V39" s="72"/>
      <c r="W39" s="72"/>
    </row>
    <row r="40" spans="1:31" ht="16.5" customHeight="1">
      <c r="A40" s="13"/>
      <c r="B40" s="273"/>
      <c r="C40" s="268"/>
      <c r="D40" s="268"/>
      <c r="E40" s="269"/>
      <c r="F40" s="16"/>
      <c r="G40" s="16"/>
      <c r="H40" s="17"/>
      <c r="I40" s="17"/>
      <c r="J40" s="16"/>
      <c r="K40" s="206" t="s">
        <v>844</v>
      </c>
      <c r="L40" s="247"/>
      <c r="M40" s="208" t="s">
        <v>144</v>
      </c>
      <c r="N40" s="208"/>
      <c r="O40" s="38"/>
      <c r="P40" s="38"/>
      <c r="Q40" s="276" t="s">
        <v>292</v>
      </c>
      <c r="R40" s="277"/>
      <c r="S40" s="274" t="s">
        <v>326</v>
      </c>
      <c r="T40" s="275"/>
      <c r="U40" s="72"/>
      <c r="V40" s="72"/>
      <c r="W40" s="72"/>
    </row>
    <row r="41" spans="1:31" ht="16.5" customHeight="1">
      <c r="A41" s="13"/>
      <c r="B41" s="273"/>
      <c r="C41" s="268"/>
      <c r="D41" s="268"/>
      <c r="E41" s="269"/>
      <c r="F41" s="16"/>
      <c r="G41" s="16"/>
      <c r="H41" s="17"/>
      <c r="I41" s="17"/>
      <c r="J41" s="16"/>
      <c r="K41" s="206" t="s">
        <v>845</v>
      </c>
      <c r="L41" s="247"/>
      <c r="M41" s="208" t="s">
        <v>145</v>
      </c>
      <c r="N41" s="208"/>
      <c r="O41" s="38"/>
      <c r="P41" s="38"/>
      <c r="Q41" s="276" t="s">
        <v>293</v>
      </c>
      <c r="R41" s="277"/>
      <c r="S41" s="274" t="s">
        <v>290</v>
      </c>
      <c r="T41" s="275"/>
      <c r="U41" s="72"/>
      <c r="V41" s="72"/>
      <c r="W41" s="72"/>
    </row>
    <row r="42" spans="1:31" ht="16.5" customHeight="1">
      <c r="A42" s="13"/>
      <c r="B42" s="273"/>
      <c r="C42" s="268"/>
      <c r="D42" s="268"/>
      <c r="E42" s="269"/>
      <c r="F42" s="16"/>
      <c r="G42" s="16"/>
      <c r="H42" s="17"/>
      <c r="I42" s="17"/>
      <c r="J42" s="16"/>
      <c r="K42" s="206" t="s">
        <v>846</v>
      </c>
      <c r="L42" s="247"/>
      <c r="M42" s="208" t="s">
        <v>145</v>
      </c>
      <c r="N42" s="208"/>
      <c r="O42" s="38"/>
      <c r="P42" s="38"/>
      <c r="Q42" s="276" t="s">
        <v>291</v>
      </c>
      <c r="R42" s="277"/>
      <c r="S42" s="274" t="s">
        <v>327</v>
      </c>
      <c r="T42" s="275"/>
      <c r="U42" s="72"/>
      <c r="V42" s="72"/>
      <c r="W42" s="72"/>
    </row>
    <row r="43" spans="1:31" ht="16.5" customHeight="1">
      <c r="A43" s="13"/>
      <c r="B43" s="273"/>
      <c r="C43" s="268"/>
      <c r="D43" s="268"/>
      <c r="E43" s="269"/>
      <c r="F43" s="16"/>
      <c r="G43" s="16"/>
      <c r="H43" s="17"/>
      <c r="I43" s="17"/>
      <c r="J43" s="16"/>
      <c r="K43" s="206" t="s">
        <v>847</v>
      </c>
      <c r="L43" s="247"/>
      <c r="M43" s="208" t="s">
        <v>145</v>
      </c>
      <c r="N43" s="208"/>
      <c r="O43" s="38"/>
      <c r="P43" s="38"/>
      <c r="Q43" s="276" t="s">
        <v>294</v>
      </c>
      <c r="R43" s="277"/>
      <c r="S43" s="274" t="s">
        <v>290</v>
      </c>
      <c r="T43" s="275"/>
      <c r="U43" s="72"/>
      <c r="V43" s="72"/>
      <c r="W43" s="72"/>
    </row>
    <row r="44" spans="1:31" ht="16.5" customHeight="1">
      <c r="A44" s="13"/>
      <c r="B44" s="273"/>
      <c r="C44" s="268"/>
      <c r="D44" s="251"/>
      <c r="E44" s="251"/>
      <c r="F44" s="273" t="s">
        <v>31</v>
      </c>
      <c r="G44" s="269"/>
      <c r="H44" s="17"/>
      <c r="I44" s="17">
        <f>SUM(I21:I43)</f>
        <v>0</v>
      </c>
      <c r="J44" s="10"/>
      <c r="K44" s="206" t="s">
        <v>848</v>
      </c>
      <c r="L44" s="247"/>
      <c r="M44" s="208" t="s">
        <v>146</v>
      </c>
      <c r="N44" s="208"/>
      <c r="O44" s="38"/>
      <c r="P44" s="38"/>
      <c r="Q44" s="277" t="s">
        <v>129</v>
      </c>
      <c r="R44" s="277"/>
      <c r="S44" s="278" t="s">
        <v>360</v>
      </c>
      <c r="T44" s="278"/>
      <c r="U44" s="73"/>
      <c r="V44" s="72"/>
      <c r="W44" s="72"/>
    </row>
    <row r="45" spans="1:31" ht="16.5" customHeight="1">
      <c r="A45" s="262" t="s">
        <v>32</v>
      </c>
      <c r="B45" s="263"/>
      <c r="C45" s="263"/>
      <c r="D45" s="263"/>
      <c r="E45" s="263"/>
      <c r="F45" s="263"/>
      <c r="G45" s="263"/>
      <c r="H45" s="263"/>
      <c r="I45" s="263"/>
      <c r="J45" s="264"/>
      <c r="K45" s="206" t="s">
        <v>849</v>
      </c>
      <c r="L45" s="247"/>
      <c r="M45" s="208" t="s">
        <v>147</v>
      </c>
      <c r="N45" s="208"/>
      <c r="O45" s="38"/>
      <c r="P45" s="38"/>
      <c r="Q45" s="277" t="s">
        <v>370</v>
      </c>
      <c r="R45" s="277"/>
      <c r="S45" s="278" t="s">
        <v>371</v>
      </c>
      <c r="T45" s="278"/>
      <c r="U45" s="74"/>
      <c r="V45" s="72"/>
      <c r="W45" s="72"/>
    </row>
    <row r="46" spans="1:31" ht="16.5" customHeight="1">
      <c r="A46" s="265"/>
      <c r="B46" s="266"/>
      <c r="C46" s="266"/>
      <c r="D46" s="266"/>
      <c r="E46" s="266"/>
      <c r="F46" s="266"/>
      <c r="G46" s="266"/>
      <c r="H46" s="266"/>
      <c r="I46" s="266"/>
      <c r="J46" s="267"/>
      <c r="K46" s="206" t="s">
        <v>818</v>
      </c>
      <c r="L46" s="247"/>
      <c r="M46" s="208" t="s">
        <v>148</v>
      </c>
      <c r="N46" s="208"/>
      <c r="O46" s="38"/>
      <c r="P46" s="38"/>
      <c r="Q46" s="204"/>
      <c r="R46" s="204"/>
      <c r="S46" s="205"/>
      <c r="T46" s="66"/>
      <c r="U46" s="64"/>
      <c r="V46" s="38"/>
      <c r="W46" s="38"/>
    </row>
    <row r="47" spans="1:31" ht="16.5" customHeight="1">
      <c r="A47" s="287"/>
      <c r="B47" s="257"/>
      <c r="C47" s="257"/>
      <c r="D47" s="257"/>
      <c r="E47" s="257"/>
      <c r="F47" s="257"/>
      <c r="G47" s="257"/>
      <c r="H47" s="257"/>
      <c r="I47" s="257"/>
      <c r="J47" s="258"/>
      <c r="K47" s="206" t="s">
        <v>850</v>
      </c>
      <c r="L47" s="247"/>
      <c r="M47" s="208" t="s">
        <v>180</v>
      </c>
      <c r="N47" s="208"/>
      <c r="O47" s="38"/>
      <c r="P47" s="38"/>
      <c r="Q47" s="204"/>
      <c r="R47" s="204"/>
      <c r="S47" s="205"/>
      <c r="T47" s="66"/>
      <c r="U47" s="64"/>
      <c r="V47" s="38"/>
      <c r="W47" s="38"/>
    </row>
    <row r="48" spans="1:31" ht="16.5" customHeight="1">
      <c r="A48" s="288" t="s">
        <v>33</v>
      </c>
      <c r="B48" s="288"/>
      <c r="C48" s="288"/>
      <c r="D48" s="288"/>
      <c r="E48" s="288"/>
      <c r="F48" s="288"/>
      <c r="G48" s="288"/>
      <c r="H48" s="288"/>
      <c r="I48" s="288"/>
      <c r="J48" s="288"/>
      <c r="K48" s="206" t="s">
        <v>851</v>
      </c>
      <c r="L48" s="247"/>
      <c r="M48" s="208" t="s">
        <v>181</v>
      </c>
      <c r="N48" s="208"/>
      <c r="O48" s="38"/>
      <c r="P48" s="44"/>
      <c r="U48" s="59"/>
      <c r="V48" s="59"/>
      <c r="W48" s="59"/>
      <c r="X48" s="59"/>
      <c r="AC48" s="42"/>
      <c r="AD48" s="42"/>
      <c r="AE48" s="42"/>
    </row>
    <row r="49" spans="1:31" ht="16.5" customHeight="1">
      <c r="A49" s="288" t="s">
        <v>34</v>
      </c>
      <c r="B49" s="288"/>
      <c r="C49" s="288"/>
      <c r="D49" s="288"/>
      <c r="E49" s="288"/>
      <c r="F49" s="288"/>
      <c r="G49" s="288"/>
      <c r="H49" s="288"/>
      <c r="I49" s="288"/>
      <c r="J49" s="288"/>
      <c r="K49" s="206" t="s">
        <v>852</v>
      </c>
      <c r="L49" s="247"/>
      <c r="M49" s="208" t="s">
        <v>367</v>
      </c>
      <c r="N49" s="208"/>
      <c r="O49" s="38"/>
      <c r="P49" s="44"/>
      <c r="S49" s="15"/>
      <c r="T49" s="15"/>
      <c r="U49" s="15" t="s">
        <v>50</v>
      </c>
      <c r="V49" s="15" t="s">
        <v>307</v>
      </c>
      <c r="W49" s="15" t="s">
        <v>48</v>
      </c>
      <c r="X49" s="59"/>
      <c r="AC49" s="42"/>
      <c r="AD49" s="42"/>
      <c r="AE49" s="42"/>
    </row>
    <row r="50" spans="1:31" ht="16.5" customHeight="1">
      <c r="A50" s="289" t="s">
        <v>427</v>
      </c>
      <c r="B50" s="289"/>
      <c r="C50" s="289"/>
      <c r="D50" s="289"/>
      <c r="E50" s="289"/>
      <c r="F50" s="289"/>
      <c r="G50" s="289"/>
      <c r="H50" s="289"/>
      <c r="I50" s="289"/>
      <c r="J50" s="289"/>
      <c r="K50" s="203" t="s">
        <v>33</v>
      </c>
      <c r="L50" s="204"/>
      <c r="M50" s="204"/>
      <c r="N50" s="204"/>
      <c r="O50" s="204"/>
      <c r="P50" s="204"/>
      <c r="Q50" s="259" t="s">
        <v>149</v>
      </c>
      <c r="R50" s="260"/>
      <c r="S50" s="257" t="s">
        <v>150</v>
      </c>
      <c r="T50" s="258"/>
      <c r="U50" s="38">
        <v>600</v>
      </c>
      <c r="V50" s="38">
        <v>1000</v>
      </c>
      <c r="W50" s="38">
        <v>800</v>
      </c>
      <c r="X50" s="59"/>
      <c r="AC50" s="42"/>
      <c r="AD50" s="42"/>
      <c r="AE50" s="42"/>
    </row>
    <row r="51" spans="1:31" ht="16.5" customHeight="1">
      <c r="A51" s="87"/>
      <c r="B51" s="87"/>
      <c r="C51" s="87"/>
      <c r="D51" s="87"/>
      <c r="E51" s="87"/>
      <c r="F51" s="87"/>
      <c r="G51" s="87"/>
      <c r="H51" s="87"/>
      <c r="I51" s="87"/>
      <c r="J51" s="87"/>
      <c r="K51" s="203" t="s">
        <v>34</v>
      </c>
      <c r="L51" s="204"/>
      <c r="M51" s="204"/>
      <c r="N51" s="204"/>
      <c r="O51" s="204"/>
      <c r="P51" s="204"/>
      <c r="Q51" s="259" t="s">
        <v>52</v>
      </c>
      <c r="R51" s="260"/>
      <c r="S51" s="257" t="s">
        <v>416</v>
      </c>
      <c r="T51" s="258"/>
      <c r="U51" s="38">
        <v>350</v>
      </c>
      <c r="V51" s="38">
        <v>400</v>
      </c>
      <c r="W51" s="38">
        <v>450</v>
      </c>
      <c r="X51" s="59"/>
      <c r="Y51" s="279"/>
      <c r="Z51" s="280"/>
      <c r="AA51" s="280"/>
      <c r="AB51" s="280"/>
      <c r="AC51" s="42"/>
      <c r="AD51" s="42"/>
      <c r="AE51" s="42"/>
    </row>
    <row r="52" spans="1:31" ht="16.5" customHeight="1">
      <c r="A52" s="327" t="s">
        <v>430</v>
      </c>
      <c r="B52" s="328"/>
      <c r="C52" s="328"/>
      <c r="D52" s="328"/>
      <c r="E52" s="328"/>
      <c r="F52" s="328"/>
      <c r="G52" s="328"/>
      <c r="H52" s="328"/>
      <c r="I52" s="328"/>
      <c r="J52" s="328"/>
      <c r="Q52" s="259" t="s">
        <v>322</v>
      </c>
      <c r="R52" s="260"/>
      <c r="S52" s="257" t="s">
        <v>417</v>
      </c>
      <c r="T52" s="258"/>
      <c r="U52" s="38">
        <v>400</v>
      </c>
      <c r="V52" s="38">
        <v>450</v>
      </c>
      <c r="W52" s="38">
        <v>500</v>
      </c>
      <c r="X52" s="59"/>
      <c r="Y52" s="279"/>
      <c r="Z52" s="280"/>
      <c r="AA52" s="280"/>
      <c r="AB52" s="280"/>
      <c r="AC52" s="42"/>
      <c r="AD52" s="42"/>
      <c r="AE52" s="42"/>
    </row>
    <row r="53" spans="1:31" ht="16.5" customHeight="1">
      <c r="A53" s="87"/>
      <c r="B53" s="87"/>
      <c r="C53" s="87"/>
      <c r="D53" s="87"/>
      <c r="E53" s="87"/>
      <c r="F53" s="87"/>
      <c r="G53" s="87"/>
      <c r="H53" s="87"/>
      <c r="I53" s="87"/>
      <c r="J53" s="87"/>
      <c r="K53" s="262" t="s">
        <v>363</v>
      </c>
      <c r="L53" s="263"/>
      <c r="M53" s="263"/>
      <c r="N53" s="59"/>
      <c r="O53" s="15" t="s">
        <v>50</v>
      </c>
      <c r="P53" s="15" t="s">
        <v>48</v>
      </c>
      <c r="Q53" s="259" t="s">
        <v>151</v>
      </c>
      <c r="R53" s="260"/>
      <c r="S53" s="257" t="s">
        <v>171</v>
      </c>
      <c r="T53" s="258"/>
      <c r="U53" s="38">
        <v>200</v>
      </c>
      <c r="V53" s="38">
        <v>250</v>
      </c>
      <c r="W53" s="38">
        <v>250</v>
      </c>
      <c r="X53" s="59"/>
      <c r="Y53" s="279"/>
      <c r="Z53" s="280"/>
      <c r="AA53" s="280"/>
      <c r="AB53" s="280"/>
      <c r="AC53" s="42"/>
      <c r="AD53" s="42"/>
      <c r="AE53" s="42"/>
    </row>
    <row r="54" spans="1:31" ht="16.5" customHeight="1">
      <c r="A54" s="88"/>
      <c r="B54" s="331" t="s">
        <v>428</v>
      </c>
      <c r="C54" s="332"/>
      <c r="D54" s="332"/>
      <c r="E54" s="332"/>
      <c r="F54" s="18" t="s">
        <v>429</v>
      </c>
      <c r="G54" s="18" t="s">
        <v>19</v>
      </c>
      <c r="H54" s="18" t="s">
        <v>15</v>
      </c>
      <c r="I54" s="18" t="s">
        <v>16</v>
      </c>
      <c r="J54" s="18" t="s">
        <v>17</v>
      </c>
      <c r="K54" s="209" t="s">
        <v>102</v>
      </c>
      <c r="L54" s="248"/>
      <c r="M54" s="208" t="s">
        <v>103</v>
      </c>
      <c r="N54" s="208"/>
      <c r="O54" s="38">
        <v>9000</v>
      </c>
      <c r="P54" s="44">
        <v>12000</v>
      </c>
      <c r="Q54" s="259" t="s">
        <v>152</v>
      </c>
      <c r="R54" s="260"/>
      <c r="S54" s="257" t="s">
        <v>172</v>
      </c>
      <c r="T54" s="258"/>
      <c r="U54" s="38">
        <v>200</v>
      </c>
      <c r="V54" s="38">
        <v>300</v>
      </c>
      <c r="W54" s="38">
        <v>250</v>
      </c>
      <c r="X54" s="59"/>
      <c r="Y54" s="279"/>
      <c r="Z54" s="280"/>
      <c r="AA54" s="280"/>
      <c r="AB54" s="280"/>
      <c r="AC54" s="42"/>
      <c r="AD54" s="42"/>
      <c r="AE54" s="42"/>
    </row>
    <row r="55" spans="1:31" ht="16.5" customHeight="1">
      <c r="A55" s="88"/>
      <c r="B55" s="329"/>
      <c r="C55" s="330"/>
      <c r="D55" s="330"/>
      <c r="E55" s="330"/>
      <c r="F55" s="89"/>
      <c r="G55" s="89"/>
      <c r="H55" s="89"/>
      <c r="I55" s="89"/>
      <c r="J55" s="88"/>
      <c r="K55" s="209" t="s">
        <v>104</v>
      </c>
      <c r="L55" s="248"/>
      <c r="M55" s="208" t="s">
        <v>105</v>
      </c>
      <c r="N55" s="208"/>
      <c r="O55" s="38">
        <v>1200</v>
      </c>
      <c r="P55" s="38">
        <v>1500</v>
      </c>
      <c r="Q55" s="259" t="s">
        <v>153</v>
      </c>
      <c r="R55" s="260"/>
      <c r="S55" s="257" t="s">
        <v>173</v>
      </c>
      <c r="T55" s="258"/>
      <c r="U55" s="38">
        <v>470</v>
      </c>
      <c r="V55" s="38">
        <v>500</v>
      </c>
      <c r="W55" s="38">
        <v>600</v>
      </c>
      <c r="X55" s="59"/>
      <c r="Y55" s="279"/>
      <c r="Z55" s="280"/>
      <c r="AA55" s="280"/>
      <c r="AB55" s="280"/>
      <c r="AC55" s="42"/>
      <c r="AD55" s="42"/>
      <c r="AE55" s="42"/>
    </row>
    <row r="56" spans="1:31" ht="16.5" customHeight="1">
      <c r="A56" s="5"/>
      <c r="B56" s="259"/>
      <c r="C56" s="260"/>
      <c r="D56" s="257"/>
      <c r="E56" s="258"/>
      <c r="F56" s="16"/>
      <c r="G56" s="68"/>
      <c r="H56" s="90"/>
      <c r="I56" s="17"/>
      <c r="J56" s="88"/>
      <c r="K56" s="209" t="s">
        <v>106</v>
      </c>
      <c r="L56" s="248"/>
      <c r="M56" s="208" t="s">
        <v>103</v>
      </c>
      <c r="N56" s="208"/>
      <c r="O56" s="38">
        <v>11500</v>
      </c>
      <c r="P56" s="38">
        <v>15000</v>
      </c>
      <c r="Q56" s="259" t="s">
        <v>154</v>
      </c>
      <c r="R56" s="260"/>
      <c r="S56" s="257" t="s">
        <v>174</v>
      </c>
      <c r="T56" s="258"/>
      <c r="U56" s="38">
        <v>250</v>
      </c>
      <c r="V56" s="38">
        <v>300</v>
      </c>
      <c r="W56" s="38">
        <v>300</v>
      </c>
      <c r="X56" s="59"/>
      <c r="Y56" s="279"/>
      <c r="Z56" s="280"/>
      <c r="AA56" s="280"/>
      <c r="AB56" s="280"/>
      <c r="AC56" s="42"/>
      <c r="AD56" s="42"/>
      <c r="AE56" s="42"/>
    </row>
    <row r="57" spans="1:31" ht="16.5" customHeight="1">
      <c r="A57" s="5"/>
      <c r="B57" s="259"/>
      <c r="C57" s="260"/>
      <c r="D57" s="257"/>
      <c r="E57" s="258"/>
      <c r="F57" s="16"/>
      <c r="G57" s="68"/>
      <c r="H57" s="90"/>
      <c r="I57" s="17"/>
      <c r="J57" s="88"/>
      <c r="K57" s="209" t="s">
        <v>107</v>
      </c>
      <c r="L57" s="248"/>
      <c r="M57" s="208" t="s">
        <v>99</v>
      </c>
      <c r="N57" s="208"/>
      <c r="O57" s="38">
        <v>11000</v>
      </c>
      <c r="P57" s="38">
        <v>13500</v>
      </c>
      <c r="Q57" s="255" t="s">
        <v>361</v>
      </c>
      <c r="R57" s="272"/>
      <c r="S57" s="257" t="s">
        <v>362</v>
      </c>
      <c r="T57" s="258"/>
      <c r="U57" s="38">
        <v>250</v>
      </c>
      <c r="V57" s="38">
        <v>300</v>
      </c>
      <c r="W57" s="38">
        <v>300</v>
      </c>
      <c r="X57" s="59"/>
      <c r="Y57" s="279"/>
      <c r="Z57" s="280"/>
      <c r="AA57" s="280"/>
      <c r="AB57" s="280"/>
      <c r="AC57" s="42"/>
      <c r="AD57" s="42"/>
      <c r="AE57" s="42"/>
    </row>
    <row r="58" spans="1:31" ht="16.5" customHeight="1">
      <c r="A58" s="5"/>
      <c r="B58" s="259"/>
      <c r="C58" s="260"/>
      <c r="D58" s="257"/>
      <c r="E58" s="258"/>
      <c r="F58" s="16"/>
      <c r="G58" s="68"/>
      <c r="H58" s="17"/>
      <c r="I58" s="17"/>
      <c r="J58" s="88"/>
      <c r="K58" s="209" t="s">
        <v>108</v>
      </c>
      <c r="L58" s="248"/>
      <c r="M58" s="208" t="s">
        <v>110</v>
      </c>
      <c r="N58" s="208"/>
      <c r="O58" s="38">
        <v>9000</v>
      </c>
      <c r="P58" s="38">
        <v>11000</v>
      </c>
      <c r="Q58" s="259" t="s">
        <v>155</v>
      </c>
      <c r="R58" s="260"/>
      <c r="S58" s="257" t="s">
        <v>35</v>
      </c>
      <c r="T58" s="258"/>
      <c r="U58" s="38">
        <v>100</v>
      </c>
      <c r="V58" s="38">
        <v>150</v>
      </c>
      <c r="W58" s="38">
        <v>150</v>
      </c>
      <c r="X58" s="59"/>
      <c r="Y58" s="279"/>
      <c r="Z58" s="280"/>
      <c r="AA58" s="280"/>
      <c r="AB58" s="280"/>
      <c r="AC58" s="42"/>
      <c r="AD58" s="42"/>
      <c r="AE58" s="42"/>
    </row>
    <row r="59" spans="1:31" ht="16.5" customHeight="1">
      <c r="A59" s="5"/>
      <c r="B59" s="259"/>
      <c r="C59" s="260"/>
      <c r="D59" s="257"/>
      <c r="E59" s="258"/>
      <c r="F59" s="16"/>
      <c r="G59" s="68"/>
      <c r="H59" s="17"/>
      <c r="I59" s="17"/>
      <c r="J59" s="88"/>
      <c r="K59" s="209" t="s">
        <v>109</v>
      </c>
      <c r="L59" s="248"/>
      <c r="M59" s="208" t="s">
        <v>111</v>
      </c>
      <c r="N59" s="208"/>
      <c r="O59" s="43" t="s">
        <v>51</v>
      </c>
      <c r="P59" s="43" t="s">
        <v>51</v>
      </c>
      <c r="Q59" s="259" t="s">
        <v>343</v>
      </c>
      <c r="R59" s="260"/>
      <c r="S59" s="257" t="s">
        <v>37</v>
      </c>
      <c r="T59" s="258"/>
      <c r="U59" s="38">
        <v>800</v>
      </c>
      <c r="V59" s="38">
        <v>1000</v>
      </c>
      <c r="W59" s="38">
        <v>1000</v>
      </c>
      <c r="X59" s="59"/>
      <c r="Y59" s="279"/>
      <c r="Z59" s="280"/>
      <c r="AA59" s="280"/>
      <c r="AB59" s="280"/>
      <c r="AC59" s="42"/>
      <c r="AD59" s="42"/>
      <c r="AE59" s="42"/>
    </row>
    <row r="60" spans="1:31" ht="16.5" customHeight="1">
      <c r="A60" s="5"/>
      <c r="B60" s="259"/>
      <c r="C60" s="260"/>
      <c r="D60" s="257"/>
      <c r="E60" s="258"/>
      <c r="F60" s="16"/>
      <c r="G60" s="68"/>
      <c r="H60" s="17"/>
      <c r="I60" s="17"/>
      <c r="J60" s="88"/>
      <c r="K60" s="209" t="s">
        <v>112</v>
      </c>
      <c r="L60" s="248"/>
      <c r="M60" s="208" t="s">
        <v>114</v>
      </c>
      <c r="N60" s="208"/>
      <c r="O60" s="38">
        <v>3500</v>
      </c>
      <c r="P60" s="38">
        <v>4500</v>
      </c>
      <c r="Q60" s="259" t="s">
        <v>156</v>
      </c>
      <c r="R60" s="260"/>
      <c r="S60" s="257" t="s">
        <v>175</v>
      </c>
      <c r="T60" s="258"/>
      <c r="U60" s="38">
        <v>400</v>
      </c>
      <c r="V60" s="38">
        <v>500</v>
      </c>
      <c r="W60" s="38">
        <v>500</v>
      </c>
      <c r="X60" s="59"/>
      <c r="Y60" s="279"/>
      <c r="Z60" s="280"/>
      <c r="AA60" s="280"/>
      <c r="AB60" s="280"/>
      <c r="AC60" s="42"/>
      <c r="AD60" s="42"/>
      <c r="AE60" s="42"/>
    </row>
    <row r="61" spans="1:31" ht="16.5" customHeight="1">
      <c r="A61" s="5"/>
      <c r="B61" s="259"/>
      <c r="C61" s="260"/>
      <c r="D61" s="257"/>
      <c r="E61" s="258"/>
      <c r="F61" s="16"/>
      <c r="G61" s="68"/>
      <c r="H61" s="90"/>
      <c r="I61" s="17"/>
      <c r="J61" s="88"/>
      <c r="K61" s="209" t="s">
        <v>113</v>
      </c>
      <c r="L61" s="248"/>
      <c r="M61" s="208" t="s">
        <v>115</v>
      </c>
      <c r="N61" s="208"/>
      <c r="O61" s="38">
        <v>4500</v>
      </c>
      <c r="P61" s="38">
        <v>5500</v>
      </c>
      <c r="Q61" s="259" t="s">
        <v>157</v>
      </c>
      <c r="R61" s="260"/>
      <c r="S61" s="257" t="s">
        <v>176</v>
      </c>
      <c r="T61" s="258"/>
      <c r="U61" s="38">
        <v>2500</v>
      </c>
      <c r="V61" s="38">
        <v>3000</v>
      </c>
      <c r="W61" s="38">
        <v>3000</v>
      </c>
      <c r="X61" s="59"/>
      <c r="Y61" s="279"/>
      <c r="Z61" s="280"/>
      <c r="AA61" s="280"/>
      <c r="AB61" s="280"/>
      <c r="AC61" s="42"/>
      <c r="AD61" s="42"/>
      <c r="AE61" s="42"/>
    </row>
    <row r="62" spans="1:31" ht="16.5" customHeight="1">
      <c r="A62" s="5"/>
      <c r="B62" s="259"/>
      <c r="C62" s="260"/>
      <c r="D62" s="257"/>
      <c r="E62" s="258"/>
      <c r="F62" s="16"/>
      <c r="G62" s="68"/>
      <c r="H62" s="90"/>
      <c r="I62" s="17"/>
      <c r="J62" s="88"/>
      <c r="K62" s="209" t="s">
        <v>116</v>
      </c>
      <c r="L62" s="248"/>
      <c r="M62" s="208" t="s">
        <v>40</v>
      </c>
      <c r="N62" s="208"/>
      <c r="O62" s="38">
        <v>4300</v>
      </c>
      <c r="P62" s="38">
        <v>5300</v>
      </c>
      <c r="Q62" s="259" t="s">
        <v>158</v>
      </c>
      <c r="R62" s="260"/>
      <c r="S62" s="257" t="s">
        <v>53</v>
      </c>
      <c r="T62" s="258"/>
      <c r="U62" s="38">
        <v>6000</v>
      </c>
      <c r="V62" s="38">
        <v>7000</v>
      </c>
      <c r="W62" s="38">
        <v>7500</v>
      </c>
      <c r="X62" s="59"/>
      <c r="Y62" s="279"/>
      <c r="Z62" s="280"/>
      <c r="AA62" s="280"/>
      <c r="AB62" s="280"/>
      <c r="AC62" s="42"/>
      <c r="AD62" s="42"/>
      <c r="AE62" s="42"/>
    </row>
    <row r="63" spans="1:31" ht="16.5" customHeight="1">
      <c r="A63" s="5"/>
      <c r="B63" s="259"/>
      <c r="C63" s="260"/>
      <c r="D63" s="257"/>
      <c r="E63" s="258"/>
      <c r="F63" s="16"/>
      <c r="G63" s="68"/>
      <c r="H63" s="17"/>
      <c r="I63" s="17"/>
      <c r="J63" s="88"/>
      <c r="K63" s="209" t="s">
        <v>119</v>
      </c>
      <c r="L63" s="248"/>
      <c r="M63" s="208" t="s">
        <v>41</v>
      </c>
      <c r="N63" s="208"/>
      <c r="O63" s="38">
        <v>4800</v>
      </c>
      <c r="P63" s="38">
        <v>5800</v>
      </c>
      <c r="Q63" s="259" t="s">
        <v>159</v>
      </c>
      <c r="R63" s="260"/>
      <c r="S63" s="257" t="s">
        <v>259</v>
      </c>
      <c r="T63" s="258"/>
      <c r="U63" s="38"/>
      <c r="V63" s="38"/>
      <c r="W63" s="38"/>
      <c r="X63" s="59"/>
      <c r="Y63" s="279"/>
      <c r="Z63" s="280"/>
      <c r="AA63" s="280"/>
      <c r="AB63" s="280"/>
      <c r="AC63" s="42"/>
      <c r="AD63" s="42"/>
      <c r="AE63" s="42"/>
    </row>
    <row r="64" spans="1:31" ht="16.5" customHeight="1">
      <c r="A64" s="5"/>
      <c r="B64" s="259"/>
      <c r="C64" s="260"/>
      <c r="D64" s="257"/>
      <c r="E64" s="258"/>
      <c r="F64" s="16"/>
      <c r="G64" s="68"/>
      <c r="H64" s="17"/>
      <c r="I64" s="17"/>
      <c r="J64" s="88"/>
      <c r="K64" s="206" t="s">
        <v>120</v>
      </c>
      <c r="L64" s="247"/>
      <c r="M64" s="208" t="s">
        <v>140</v>
      </c>
      <c r="N64" s="208"/>
      <c r="O64" s="38">
        <v>7000</v>
      </c>
      <c r="P64" s="38">
        <v>8500</v>
      </c>
      <c r="Q64" s="259" t="s">
        <v>160</v>
      </c>
      <c r="R64" s="260"/>
      <c r="S64" s="257" t="s">
        <v>141</v>
      </c>
      <c r="T64" s="258"/>
      <c r="U64" s="38">
        <v>8800</v>
      </c>
      <c r="V64" s="38">
        <v>10500</v>
      </c>
      <c r="W64" s="38">
        <v>10500</v>
      </c>
      <c r="X64" s="59"/>
      <c r="Y64" s="279"/>
      <c r="Z64" s="280"/>
      <c r="AA64" s="280"/>
      <c r="AB64" s="280"/>
      <c r="AC64" s="42"/>
      <c r="AD64" s="42"/>
      <c r="AE64" s="42"/>
    </row>
    <row r="65" spans="1:31" ht="16.5" customHeight="1">
      <c r="A65" s="5"/>
      <c r="B65" s="259"/>
      <c r="C65" s="260"/>
      <c r="D65" s="257"/>
      <c r="E65" s="258"/>
      <c r="F65" s="16"/>
      <c r="G65" s="68"/>
      <c r="H65" s="17"/>
      <c r="I65" s="17"/>
      <c r="J65" s="88"/>
      <c r="K65" s="206" t="s">
        <v>121</v>
      </c>
      <c r="L65" s="247"/>
      <c r="M65" s="208" t="s">
        <v>141</v>
      </c>
      <c r="N65" s="208"/>
      <c r="O65" s="38">
        <v>8700</v>
      </c>
      <c r="P65" s="38">
        <v>10500</v>
      </c>
      <c r="Q65" s="259" t="s">
        <v>161</v>
      </c>
      <c r="R65" s="260"/>
      <c r="S65" s="257" t="s">
        <v>54</v>
      </c>
      <c r="T65" s="258"/>
      <c r="U65" s="38">
        <v>120</v>
      </c>
      <c r="V65" s="38">
        <v>200</v>
      </c>
      <c r="W65" s="38">
        <v>200</v>
      </c>
      <c r="X65" s="59"/>
      <c r="Y65" s="279"/>
      <c r="Z65" s="280"/>
      <c r="AA65" s="280"/>
      <c r="AB65" s="280"/>
      <c r="AC65" s="42"/>
      <c r="AD65" s="42"/>
      <c r="AE65" s="42"/>
    </row>
    <row r="66" spans="1:31" ht="16.5" customHeight="1">
      <c r="A66" s="5"/>
      <c r="B66" s="259"/>
      <c r="C66" s="260"/>
      <c r="D66" s="257"/>
      <c r="E66" s="258"/>
      <c r="F66" s="16"/>
      <c r="G66" s="68"/>
      <c r="H66" s="90"/>
      <c r="I66" s="17"/>
      <c r="J66" s="88"/>
      <c r="K66" s="206" t="s">
        <v>122</v>
      </c>
      <c r="L66" s="247"/>
      <c r="M66" s="208" t="s">
        <v>141</v>
      </c>
      <c r="N66" s="208"/>
      <c r="O66" s="38">
        <v>6500</v>
      </c>
      <c r="P66" s="38">
        <v>8000</v>
      </c>
      <c r="Q66" s="276" t="s">
        <v>344</v>
      </c>
      <c r="R66" s="277"/>
      <c r="S66" s="274" t="s">
        <v>55</v>
      </c>
      <c r="T66" s="275"/>
      <c r="U66" s="72">
        <v>200</v>
      </c>
      <c r="V66" s="72">
        <v>300</v>
      </c>
      <c r="W66" s="72">
        <v>300</v>
      </c>
      <c r="X66" s="59"/>
      <c r="Y66" s="279"/>
      <c r="Z66" s="280"/>
      <c r="AA66" s="280"/>
      <c r="AB66" s="280"/>
      <c r="AC66" s="42"/>
      <c r="AD66" s="42"/>
      <c r="AE66" s="42"/>
    </row>
    <row r="67" spans="1:31" ht="16.5" customHeight="1">
      <c r="A67" s="5"/>
      <c r="B67" s="259"/>
      <c r="C67" s="260"/>
      <c r="D67" s="257"/>
      <c r="E67" s="258"/>
      <c r="F67" s="16"/>
      <c r="G67" s="68"/>
      <c r="H67" s="90"/>
      <c r="I67" s="17"/>
      <c r="J67" s="88"/>
      <c r="K67" s="206" t="s">
        <v>123</v>
      </c>
      <c r="L67" s="247"/>
      <c r="M67" s="208" t="s">
        <v>140</v>
      </c>
      <c r="N67" s="208"/>
      <c r="O67" s="38">
        <v>5700</v>
      </c>
      <c r="P67" s="38">
        <v>7000</v>
      </c>
      <c r="Q67" s="276" t="s">
        <v>162</v>
      </c>
      <c r="R67" s="277"/>
      <c r="S67" s="274" t="s">
        <v>177</v>
      </c>
      <c r="T67" s="275"/>
      <c r="U67" s="72">
        <v>250</v>
      </c>
      <c r="V67" s="72">
        <v>300</v>
      </c>
      <c r="W67" s="72">
        <v>300</v>
      </c>
      <c r="X67" s="59"/>
      <c r="Y67" s="279"/>
      <c r="Z67" s="280"/>
      <c r="AA67" s="280"/>
      <c r="AB67" s="280"/>
      <c r="AC67" s="42"/>
      <c r="AD67" s="42"/>
      <c r="AE67" s="42"/>
    </row>
    <row r="68" spans="1:31" ht="16.5" customHeight="1">
      <c r="A68" s="5"/>
      <c r="B68" s="259"/>
      <c r="C68" s="260"/>
      <c r="D68" s="257"/>
      <c r="E68" s="258"/>
      <c r="F68" s="16"/>
      <c r="G68" s="68"/>
      <c r="H68" s="17"/>
      <c r="I68" s="17"/>
      <c r="J68" s="88"/>
      <c r="K68" s="206" t="s">
        <v>117</v>
      </c>
      <c r="L68" s="247"/>
      <c r="M68" s="208" t="s">
        <v>42</v>
      </c>
      <c r="N68" s="208"/>
      <c r="O68" s="38">
        <v>9500</v>
      </c>
      <c r="P68" s="38">
        <v>11500</v>
      </c>
      <c r="Q68" s="276" t="s">
        <v>163</v>
      </c>
      <c r="R68" s="277"/>
      <c r="S68" s="274" t="s">
        <v>178</v>
      </c>
      <c r="T68" s="275"/>
      <c r="U68" s="72">
        <v>3000</v>
      </c>
      <c r="V68" s="72"/>
      <c r="W68" s="72">
        <v>4000</v>
      </c>
      <c r="X68" s="59"/>
      <c r="Y68" s="279"/>
      <c r="Z68" s="280"/>
      <c r="AA68" s="280"/>
      <c r="AB68" s="280"/>
      <c r="AC68" s="42"/>
      <c r="AD68" s="42"/>
      <c r="AE68" s="42"/>
    </row>
    <row r="69" spans="1:31" ht="16.5" customHeight="1">
      <c r="A69" s="5"/>
      <c r="B69" s="259"/>
      <c r="C69" s="260"/>
      <c r="D69" s="257"/>
      <c r="E69" s="258"/>
      <c r="F69" s="16"/>
      <c r="G69" s="68"/>
      <c r="H69" s="17"/>
      <c r="I69" s="17"/>
      <c r="J69" s="88"/>
      <c r="K69" s="206" t="s">
        <v>118</v>
      </c>
      <c r="L69" s="247"/>
      <c r="M69" s="208" t="s">
        <v>43</v>
      </c>
      <c r="N69" s="208"/>
      <c r="O69" s="38">
        <v>9200</v>
      </c>
      <c r="P69" s="38">
        <v>11500</v>
      </c>
      <c r="Q69" s="276" t="s">
        <v>164</v>
      </c>
      <c r="R69" s="277"/>
      <c r="S69" s="274" t="s">
        <v>56</v>
      </c>
      <c r="T69" s="275"/>
      <c r="U69" s="72">
        <v>400</v>
      </c>
      <c r="V69" s="72"/>
      <c r="W69" s="72">
        <v>500</v>
      </c>
      <c r="X69" s="59"/>
      <c r="Y69" s="279"/>
      <c r="Z69" s="280"/>
      <c r="AA69" s="280"/>
      <c r="AB69" s="280"/>
      <c r="AC69" s="42"/>
      <c r="AD69" s="42"/>
      <c r="AE69" s="42"/>
    </row>
    <row r="70" spans="1:31" ht="16.5" customHeight="1">
      <c r="A70" s="5"/>
      <c r="B70" s="259"/>
      <c r="C70" s="260"/>
      <c r="D70" s="257"/>
      <c r="E70" s="258"/>
      <c r="F70" s="16"/>
      <c r="G70" s="68"/>
      <c r="H70" s="17"/>
      <c r="I70" s="17"/>
      <c r="J70" s="88"/>
      <c r="K70" s="206" t="s">
        <v>124</v>
      </c>
      <c r="L70" s="247"/>
      <c r="M70" s="208" t="s">
        <v>44</v>
      </c>
      <c r="N70" s="208"/>
      <c r="O70" s="38">
        <v>350</v>
      </c>
      <c r="P70" s="38">
        <v>400</v>
      </c>
      <c r="Q70" s="276" t="s">
        <v>165</v>
      </c>
      <c r="R70" s="277"/>
      <c r="S70" s="274" t="s">
        <v>57</v>
      </c>
      <c r="T70" s="275"/>
      <c r="U70" s="72">
        <v>450</v>
      </c>
      <c r="V70" s="72"/>
      <c r="W70" s="72">
        <v>550</v>
      </c>
      <c r="X70" s="59"/>
      <c r="Y70" s="279"/>
      <c r="Z70" s="280"/>
      <c r="AA70" s="280"/>
      <c r="AB70" s="280"/>
    </row>
    <row r="71" spans="1:31" ht="16.5" customHeight="1">
      <c r="A71" s="5"/>
      <c r="B71" s="259"/>
      <c r="C71" s="260"/>
      <c r="D71" s="257"/>
      <c r="E71" s="258"/>
      <c r="F71" s="16"/>
      <c r="G71" s="68"/>
      <c r="H71" s="90"/>
      <c r="I71" s="17"/>
      <c r="J71" s="88"/>
      <c r="K71" s="206" t="s">
        <v>125</v>
      </c>
      <c r="L71" s="247"/>
      <c r="M71" s="208" t="s">
        <v>45</v>
      </c>
      <c r="N71" s="208"/>
      <c r="O71" s="38">
        <v>300</v>
      </c>
      <c r="P71" s="38">
        <v>400</v>
      </c>
      <c r="Q71" s="276" t="s">
        <v>166</v>
      </c>
      <c r="R71" s="277"/>
      <c r="S71" s="274" t="s">
        <v>58</v>
      </c>
      <c r="T71" s="275"/>
      <c r="U71" s="72">
        <v>5000</v>
      </c>
      <c r="V71" s="72"/>
      <c r="W71" s="72">
        <v>6000</v>
      </c>
      <c r="X71" s="59"/>
      <c r="Y71" s="279"/>
      <c r="Z71" s="280"/>
      <c r="AA71" s="280"/>
      <c r="AB71" s="280"/>
    </row>
    <row r="72" spans="1:31" ht="16.5" customHeight="1">
      <c r="A72" s="5"/>
      <c r="B72" s="259"/>
      <c r="C72" s="260"/>
      <c r="D72" s="257"/>
      <c r="E72" s="258"/>
      <c r="F72" s="16"/>
      <c r="G72" s="68"/>
      <c r="H72" s="90"/>
      <c r="I72" s="17"/>
      <c r="J72" s="88"/>
      <c r="K72" s="206" t="s">
        <v>126</v>
      </c>
      <c r="L72" s="247"/>
      <c r="M72" s="208" t="s">
        <v>36</v>
      </c>
      <c r="N72" s="208"/>
      <c r="O72" s="38">
        <v>3000</v>
      </c>
      <c r="P72" s="38">
        <v>4000</v>
      </c>
      <c r="Q72" s="276" t="s">
        <v>60</v>
      </c>
      <c r="R72" s="277"/>
      <c r="S72" s="274" t="s">
        <v>59</v>
      </c>
      <c r="T72" s="275"/>
      <c r="U72" s="72">
        <v>2000</v>
      </c>
      <c r="V72" s="72"/>
      <c r="W72" s="72">
        <v>2500</v>
      </c>
      <c r="X72" s="59"/>
      <c r="Y72" s="279"/>
      <c r="Z72" s="280"/>
      <c r="AA72" s="280"/>
      <c r="AB72" s="280"/>
    </row>
    <row r="73" spans="1:31" ht="16.5" customHeight="1">
      <c r="A73" s="5"/>
      <c r="B73" s="259"/>
      <c r="C73" s="260"/>
      <c r="D73" s="257"/>
      <c r="E73" s="258"/>
      <c r="F73" s="16"/>
      <c r="G73" s="68"/>
      <c r="H73" s="17"/>
      <c r="I73" s="17"/>
      <c r="J73" s="88"/>
      <c r="K73" s="206" t="s">
        <v>127</v>
      </c>
      <c r="L73" s="247"/>
      <c r="M73" s="208" t="s">
        <v>142</v>
      </c>
      <c r="N73" s="208"/>
      <c r="O73" s="38">
        <v>3500</v>
      </c>
      <c r="P73" s="38">
        <v>4500</v>
      </c>
      <c r="Q73" s="276" t="s">
        <v>264</v>
      </c>
      <c r="R73" s="277"/>
      <c r="S73" s="274" t="s">
        <v>58</v>
      </c>
      <c r="T73" s="275"/>
      <c r="U73" s="72">
        <v>4550</v>
      </c>
      <c r="V73" s="72"/>
      <c r="W73" s="72"/>
      <c r="X73" s="59"/>
      <c r="Y73" s="279"/>
      <c r="Z73" s="280"/>
      <c r="AA73" s="280"/>
      <c r="AB73" s="280"/>
    </row>
    <row r="74" spans="1:31" ht="16.5" customHeight="1">
      <c r="A74" s="5"/>
      <c r="B74" s="259"/>
      <c r="C74" s="260"/>
      <c r="D74" s="257"/>
      <c r="E74" s="258"/>
      <c r="F74" s="16"/>
      <c r="G74" s="68"/>
      <c r="H74" s="17"/>
      <c r="I74" s="17"/>
      <c r="J74" s="88"/>
      <c r="K74" s="206" t="s">
        <v>128</v>
      </c>
      <c r="L74" s="247"/>
      <c r="M74" s="208" t="s">
        <v>46</v>
      </c>
      <c r="N74" s="208"/>
      <c r="O74" s="38">
        <v>150</v>
      </c>
      <c r="P74" s="38">
        <v>200</v>
      </c>
      <c r="Q74" s="276" t="s">
        <v>168</v>
      </c>
      <c r="R74" s="277"/>
      <c r="S74" s="274" t="s">
        <v>61</v>
      </c>
      <c r="T74" s="275"/>
      <c r="U74" s="72">
        <v>13000</v>
      </c>
      <c r="V74" s="72"/>
      <c r="W74" s="72">
        <v>16000</v>
      </c>
      <c r="X74" s="59"/>
      <c r="Y74" s="279"/>
      <c r="Z74" s="280"/>
      <c r="AA74" s="280"/>
      <c r="AB74" s="280"/>
    </row>
    <row r="75" spans="1:31" ht="16.5" customHeight="1">
      <c r="A75" s="12"/>
      <c r="B75" s="259"/>
      <c r="C75" s="260"/>
      <c r="D75" s="257"/>
      <c r="E75" s="258"/>
      <c r="F75" s="16"/>
      <c r="G75" s="68"/>
      <c r="H75" s="17"/>
      <c r="I75" s="17"/>
      <c r="J75" s="88"/>
      <c r="K75" s="206" t="s">
        <v>143</v>
      </c>
      <c r="L75" s="247"/>
      <c r="M75" s="208" t="s">
        <v>47</v>
      </c>
      <c r="N75" s="208"/>
      <c r="O75" s="38">
        <v>150</v>
      </c>
      <c r="P75" s="38">
        <v>200</v>
      </c>
      <c r="Q75" s="276" t="s">
        <v>167</v>
      </c>
      <c r="R75" s="277"/>
      <c r="S75" s="274" t="s">
        <v>179</v>
      </c>
      <c r="T75" s="275"/>
      <c r="U75" s="72">
        <v>11000</v>
      </c>
      <c r="V75" s="72"/>
      <c r="W75" s="72">
        <v>13500</v>
      </c>
      <c r="X75" s="59"/>
      <c r="Y75" s="279"/>
      <c r="Z75" s="280"/>
      <c r="AA75" s="280"/>
      <c r="AB75" s="280"/>
    </row>
    <row r="76" spans="1:31" ht="16.5" customHeight="1">
      <c r="A76" s="89"/>
      <c r="B76" s="259"/>
      <c r="C76" s="260"/>
      <c r="D76" s="257"/>
      <c r="E76" s="258"/>
      <c r="F76" s="89"/>
      <c r="G76" s="18"/>
      <c r="H76" s="90"/>
      <c r="I76" s="17"/>
      <c r="J76" s="88"/>
      <c r="K76" s="206" t="s">
        <v>319</v>
      </c>
      <c r="L76" s="247"/>
      <c r="M76" s="208" t="s">
        <v>318</v>
      </c>
      <c r="N76" s="208"/>
      <c r="O76" s="38">
        <v>4500</v>
      </c>
      <c r="P76" s="38">
        <v>5500</v>
      </c>
      <c r="Q76" s="276" t="s">
        <v>297</v>
      </c>
      <c r="R76" s="277"/>
      <c r="S76" s="274" t="s">
        <v>301</v>
      </c>
      <c r="T76" s="275"/>
      <c r="U76" s="72">
        <v>300</v>
      </c>
      <c r="V76" s="72"/>
      <c r="W76" s="72">
        <v>400</v>
      </c>
      <c r="X76" s="59"/>
      <c r="Y76" s="279"/>
      <c r="Z76" s="280"/>
      <c r="AA76" s="280"/>
      <c r="AB76" s="280"/>
    </row>
    <row r="77" spans="1:31" ht="16.5" customHeight="1">
      <c r="A77" s="88"/>
      <c r="B77" s="259"/>
      <c r="C77" s="260"/>
      <c r="D77" s="257"/>
      <c r="E77" s="258"/>
      <c r="F77" s="89"/>
      <c r="G77" s="18"/>
      <c r="H77" s="90"/>
      <c r="I77" s="17"/>
      <c r="J77" s="88"/>
      <c r="K77" s="206" t="s">
        <v>130</v>
      </c>
      <c r="L77" s="247"/>
      <c r="M77" s="208" t="s">
        <v>144</v>
      </c>
      <c r="N77" s="208"/>
      <c r="O77" s="38">
        <v>4000</v>
      </c>
      <c r="P77" s="38">
        <v>5000</v>
      </c>
      <c r="Q77" s="276" t="s">
        <v>298</v>
      </c>
      <c r="R77" s="277"/>
      <c r="S77" s="274" t="s">
        <v>323</v>
      </c>
      <c r="T77" s="275"/>
      <c r="U77" s="72">
        <v>600</v>
      </c>
      <c r="V77" s="72"/>
      <c r="W77" s="72">
        <v>750</v>
      </c>
      <c r="X77" s="59"/>
      <c r="Y77" s="279"/>
      <c r="Z77" s="280"/>
      <c r="AA77" s="280"/>
      <c r="AB77" s="280"/>
    </row>
    <row r="78" spans="1:31" ht="16.5" customHeight="1">
      <c r="A78" s="88"/>
      <c r="B78" s="259"/>
      <c r="C78" s="260"/>
      <c r="D78" s="257"/>
      <c r="E78" s="258"/>
      <c r="F78" s="89"/>
      <c r="G78" s="89"/>
      <c r="H78" s="17"/>
      <c r="I78" s="17"/>
      <c r="J78" s="88"/>
      <c r="K78" s="206" t="s">
        <v>131</v>
      </c>
      <c r="L78" s="247"/>
      <c r="M78" s="208" t="s">
        <v>144</v>
      </c>
      <c r="N78" s="208"/>
      <c r="O78" s="38">
        <v>6500</v>
      </c>
      <c r="P78" s="38">
        <v>8000</v>
      </c>
      <c r="Q78" s="276" t="s">
        <v>299</v>
      </c>
      <c r="R78" s="277"/>
      <c r="S78" s="274" t="s">
        <v>324</v>
      </c>
      <c r="T78" s="275"/>
      <c r="U78" s="72">
        <v>400</v>
      </c>
      <c r="V78" s="72"/>
      <c r="W78" s="72">
        <v>600</v>
      </c>
      <c r="X78" s="59"/>
      <c r="Y78" s="279"/>
      <c r="Z78" s="280"/>
      <c r="AA78" s="280"/>
      <c r="AB78" s="280"/>
    </row>
    <row r="79" spans="1:31" ht="16.5" customHeight="1">
      <c r="A79" s="88"/>
      <c r="B79" s="259"/>
      <c r="C79" s="260"/>
      <c r="D79" s="257"/>
      <c r="E79" s="258"/>
      <c r="F79" s="89"/>
      <c r="G79" s="89"/>
      <c r="H79" s="17"/>
      <c r="I79" s="17"/>
      <c r="J79" s="88"/>
      <c r="K79" s="206" t="s">
        <v>132</v>
      </c>
      <c r="L79" s="247"/>
      <c r="M79" s="208" t="s">
        <v>144</v>
      </c>
      <c r="N79" s="208"/>
      <c r="O79" s="38">
        <v>9500</v>
      </c>
      <c r="P79" s="38">
        <v>12000</v>
      </c>
      <c r="Q79" s="276" t="s">
        <v>300</v>
      </c>
      <c r="R79" s="277"/>
      <c r="S79" s="274" t="s">
        <v>325</v>
      </c>
      <c r="T79" s="275"/>
      <c r="U79" s="72">
        <v>300</v>
      </c>
      <c r="V79" s="72"/>
      <c r="W79" s="72">
        <v>400</v>
      </c>
      <c r="X79" s="59"/>
      <c r="Y79" s="279"/>
      <c r="Z79" s="280"/>
      <c r="AA79" s="280"/>
      <c r="AB79" s="280"/>
    </row>
    <row r="80" spans="1:31" ht="16.5" customHeight="1">
      <c r="A80" s="88"/>
      <c r="B80" s="259"/>
      <c r="C80" s="260"/>
      <c r="D80" s="257"/>
      <c r="E80" s="258"/>
      <c r="F80" s="89"/>
      <c r="G80" s="89"/>
      <c r="H80" s="17"/>
      <c r="I80" s="17"/>
      <c r="J80" s="88"/>
      <c r="K80" s="206" t="s">
        <v>133</v>
      </c>
      <c r="L80" s="247"/>
      <c r="M80" s="208" t="s">
        <v>144</v>
      </c>
      <c r="N80" s="208"/>
      <c r="O80" s="38">
        <v>20000</v>
      </c>
      <c r="P80" s="38">
        <v>24000</v>
      </c>
      <c r="Q80" s="276" t="s">
        <v>292</v>
      </c>
      <c r="R80" s="277"/>
      <c r="S80" s="274" t="s">
        <v>326</v>
      </c>
      <c r="T80" s="275"/>
      <c r="U80" s="72">
        <v>600</v>
      </c>
      <c r="V80" s="72"/>
      <c r="W80" s="72">
        <v>800</v>
      </c>
      <c r="X80" s="59"/>
      <c r="Y80" s="279"/>
      <c r="Z80" s="280"/>
      <c r="AA80" s="280"/>
      <c r="AB80" s="280"/>
    </row>
    <row r="81" spans="1:28" ht="16.5" customHeight="1">
      <c r="A81" s="89"/>
      <c r="B81" s="259"/>
      <c r="C81" s="260"/>
      <c r="D81" s="257"/>
      <c r="E81" s="258"/>
      <c r="F81" s="89"/>
      <c r="G81" s="89"/>
      <c r="H81" s="90"/>
      <c r="I81" s="17"/>
      <c r="J81" s="88"/>
      <c r="K81" s="206" t="s">
        <v>134</v>
      </c>
      <c r="L81" s="247"/>
      <c r="M81" s="208" t="s">
        <v>145</v>
      </c>
      <c r="N81" s="208"/>
      <c r="O81" s="38">
        <v>9000</v>
      </c>
      <c r="P81" s="38">
        <v>11000</v>
      </c>
      <c r="Q81" s="276" t="s">
        <v>293</v>
      </c>
      <c r="R81" s="277"/>
      <c r="S81" s="274" t="s">
        <v>290</v>
      </c>
      <c r="T81" s="275"/>
      <c r="U81" s="72">
        <v>600</v>
      </c>
      <c r="V81" s="72"/>
      <c r="W81" s="72">
        <v>800</v>
      </c>
      <c r="X81" s="59"/>
      <c r="Y81" s="279"/>
      <c r="Z81" s="280"/>
      <c r="AA81" s="280"/>
      <c r="AB81" s="280"/>
    </row>
    <row r="82" spans="1:28" ht="16.5" customHeight="1">
      <c r="A82" s="88"/>
      <c r="B82" s="259"/>
      <c r="C82" s="260"/>
      <c r="D82" s="257"/>
      <c r="E82" s="258"/>
      <c r="F82" s="89"/>
      <c r="G82" s="89"/>
      <c r="H82" s="90"/>
      <c r="I82" s="17"/>
      <c r="J82" s="88"/>
      <c r="K82" s="206" t="s">
        <v>135</v>
      </c>
      <c r="L82" s="247"/>
      <c r="M82" s="208" t="s">
        <v>145</v>
      </c>
      <c r="N82" s="208"/>
      <c r="O82" s="38">
        <v>21000</v>
      </c>
      <c r="P82" s="38">
        <v>25200</v>
      </c>
      <c r="Q82" s="276" t="s">
        <v>291</v>
      </c>
      <c r="R82" s="277"/>
      <c r="S82" s="274" t="s">
        <v>327</v>
      </c>
      <c r="T82" s="275"/>
      <c r="U82" s="72">
        <v>600</v>
      </c>
      <c r="V82" s="72"/>
      <c r="W82" s="72">
        <v>800</v>
      </c>
      <c r="X82" s="59"/>
      <c r="Y82" s="279"/>
      <c r="Z82" s="280"/>
      <c r="AA82" s="280"/>
      <c r="AB82" s="280"/>
    </row>
    <row r="83" spans="1:28" ht="16.5" customHeight="1">
      <c r="A83" s="88"/>
      <c r="B83" s="259"/>
      <c r="C83" s="260"/>
      <c r="D83" s="257"/>
      <c r="E83" s="258"/>
      <c r="F83" s="89"/>
      <c r="G83" s="89"/>
      <c r="H83" s="17"/>
      <c r="I83" s="17"/>
      <c r="J83" s="88"/>
      <c r="K83" s="206" t="s">
        <v>136</v>
      </c>
      <c r="L83" s="247"/>
      <c r="M83" s="208" t="s">
        <v>145</v>
      </c>
      <c r="N83" s="208"/>
      <c r="O83" s="38">
        <v>43000</v>
      </c>
      <c r="P83" s="38">
        <v>52000</v>
      </c>
      <c r="Q83" s="276" t="s">
        <v>294</v>
      </c>
      <c r="R83" s="277"/>
      <c r="S83" s="274" t="s">
        <v>290</v>
      </c>
      <c r="T83" s="275"/>
      <c r="U83" s="72">
        <v>600</v>
      </c>
      <c r="V83" s="72"/>
      <c r="W83" s="72">
        <v>800</v>
      </c>
    </row>
    <row r="84" spans="1:28" ht="16.5" customHeight="1">
      <c r="A84" s="88"/>
      <c r="B84" s="259"/>
      <c r="C84" s="260"/>
      <c r="D84" s="257"/>
      <c r="E84" s="258"/>
      <c r="F84" s="89"/>
      <c r="G84" s="89"/>
      <c r="H84" s="17"/>
      <c r="I84" s="17"/>
      <c r="J84" s="88"/>
      <c r="K84" s="206" t="s">
        <v>137</v>
      </c>
      <c r="L84" s="247"/>
      <c r="M84" s="208" t="s">
        <v>146</v>
      </c>
      <c r="N84" s="208"/>
      <c r="O84" s="38">
        <v>4400</v>
      </c>
      <c r="P84" s="38">
        <v>5500</v>
      </c>
      <c r="Q84" s="277" t="s">
        <v>129</v>
      </c>
      <c r="R84" s="277"/>
      <c r="S84" s="278" t="s">
        <v>360</v>
      </c>
      <c r="T84" s="278"/>
      <c r="U84" s="73">
        <v>300</v>
      </c>
      <c r="V84" s="72">
        <v>400</v>
      </c>
      <c r="W84" s="72">
        <v>400</v>
      </c>
    </row>
    <row r="85" spans="1:28" ht="16.5" customHeight="1">
      <c r="A85" s="88"/>
      <c r="B85" s="259"/>
      <c r="C85" s="260"/>
      <c r="D85" s="257"/>
      <c r="E85" s="258"/>
      <c r="F85" s="89"/>
      <c r="G85" s="89"/>
      <c r="H85" s="17"/>
      <c r="I85" s="17"/>
      <c r="J85" s="88"/>
      <c r="K85" s="206" t="s">
        <v>138</v>
      </c>
      <c r="L85" s="247"/>
      <c r="M85" s="208" t="s">
        <v>147</v>
      </c>
      <c r="N85" s="208"/>
      <c r="O85" s="38">
        <v>11000</v>
      </c>
      <c r="P85" s="38">
        <v>14000</v>
      </c>
      <c r="Q85" s="277" t="s">
        <v>370</v>
      </c>
      <c r="R85" s="277"/>
      <c r="S85" s="278" t="s">
        <v>371</v>
      </c>
      <c r="T85" s="278"/>
      <c r="U85" s="74">
        <v>400</v>
      </c>
      <c r="V85" s="72">
        <v>450</v>
      </c>
      <c r="W85" s="72">
        <v>500</v>
      </c>
    </row>
    <row r="86" spans="1:28" ht="16.5" customHeight="1">
      <c r="A86" s="88"/>
      <c r="B86" s="253"/>
      <c r="C86" s="254"/>
      <c r="D86" s="270"/>
      <c r="E86" s="271"/>
      <c r="F86" s="89"/>
      <c r="G86" s="89"/>
      <c r="H86" s="89"/>
      <c r="I86" s="89"/>
      <c r="J86" s="88"/>
      <c r="K86" s="206" t="s">
        <v>139</v>
      </c>
      <c r="L86" s="247"/>
      <c r="M86" s="208" t="s">
        <v>148</v>
      </c>
      <c r="N86" s="208"/>
      <c r="O86" s="38">
        <v>100</v>
      </c>
      <c r="P86" s="38">
        <v>150</v>
      </c>
      <c r="Q86" s="204"/>
      <c r="R86" s="204"/>
      <c r="S86" s="205"/>
      <c r="T86" s="66"/>
      <c r="U86" s="64"/>
      <c r="V86" s="38"/>
      <c r="W86" s="38"/>
    </row>
    <row r="87" spans="1:28" ht="16.5" customHeight="1">
      <c r="A87" s="88"/>
      <c r="B87" s="253"/>
      <c r="C87" s="254"/>
      <c r="D87" s="270"/>
      <c r="E87" s="271"/>
      <c r="F87" s="89"/>
      <c r="G87" s="89"/>
      <c r="H87" s="89"/>
      <c r="I87" s="89"/>
      <c r="J87" s="88"/>
      <c r="K87" s="206" t="s">
        <v>169</v>
      </c>
      <c r="L87" s="247"/>
      <c r="M87" s="208" t="s">
        <v>180</v>
      </c>
      <c r="N87" s="208"/>
      <c r="O87" s="38">
        <v>1100</v>
      </c>
      <c r="P87" s="38">
        <v>1500</v>
      </c>
      <c r="Q87" s="204"/>
      <c r="R87" s="204"/>
      <c r="S87" s="205"/>
      <c r="T87" s="66"/>
      <c r="U87" s="64"/>
      <c r="V87" s="38"/>
      <c r="W87" s="38"/>
    </row>
    <row r="88" spans="1:28" ht="16.5" customHeight="1">
      <c r="A88" s="88"/>
      <c r="B88" s="253"/>
      <c r="C88" s="254"/>
      <c r="D88" s="270"/>
      <c r="E88" s="271"/>
      <c r="F88" s="89"/>
      <c r="G88" s="89"/>
      <c r="H88" s="89"/>
      <c r="I88" s="89"/>
      <c r="J88" s="88"/>
      <c r="K88" s="206" t="s">
        <v>170</v>
      </c>
      <c r="L88" s="247"/>
      <c r="M88" s="208" t="s">
        <v>181</v>
      </c>
      <c r="N88" s="208"/>
      <c r="O88" s="38">
        <v>1100</v>
      </c>
      <c r="P88" s="44">
        <v>1500</v>
      </c>
      <c r="Q88" s="23"/>
      <c r="R88" s="23"/>
      <c r="S88" s="23"/>
    </row>
    <row r="89" spans="1:28" ht="16.5" customHeight="1">
      <c r="A89" s="88"/>
      <c r="B89" s="253"/>
      <c r="C89" s="254"/>
      <c r="D89" s="270"/>
      <c r="E89" s="271"/>
      <c r="F89" s="89"/>
      <c r="G89" s="89"/>
      <c r="H89" s="89"/>
      <c r="I89" s="89"/>
      <c r="J89" s="88"/>
      <c r="K89" s="206" t="s">
        <v>366</v>
      </c>
      <c r="L89" s="247"/>
      <c r="M89" s="208" t="s">
        <v>367</v>
      </c>
      <c r="N89" s="208"/>
      <c r="O89" s="38">
        <v>200</v>
      </c>
      <c r="P89" s="44">
        <v>200</v>
      </c>
      <c r="Q89" s="23"/>
      <c r="R89" s="23"/>
      <c r="S89" s="23"/>
      <c r="U89" s="23"/>
    </row>
    <row r="90" spans="1:28" ht="16.5" customHeight="1">
      <c r="A90" s="88"/>
      <c r="B90" s="253"/>
      <c r="C90" s="254"/>
      <c r="D90" s="270"/>
      <c r="E90" s="271"/>
      <c r="F90" s="89"/>
      <c r="G90" s="89"/>
      <c r="H90" s="89"/>
      <c r="I90" s="89"/>
      <c r="J90" s="88"/>
      <c r="K90" s="203" t="s">
        <v>33</v>
      </c>
      <c r="L90" s="204"/>
      <c r="M90" s="204"/>
      <c r="N90" s="204"/>
      <c r="O90" s="204"/>
      <c r="P90" s="204"/>
      <c r="Q90" s="23"/>
      <c r="R90" s="23"/>
      <c r="S90" s="23"/>
    </row>
    <row r="91" spans="1:28" ht="16.5" customHeight="1">
      <c r="A91" s="88"/>
      <c r="B91" s="253"/>
      <c r="C91" s="254"/>
      <c r="D91" s="270"/>
      <c r="E91" s="271"/>
      <c r="F91" s="89"/>
      <c r="G91" s="89"/>
      <c r="H91" s="89"/>
      <c r="I91" s="89"/>
      <c r="J91" s="88"/>
      <c r="K91" s="203" t="s">
        <v>34</v>
      </c>
      <c r="L91" s="204"/>
      <c r="M91" s="204"/>
      <c r="N91" s="204"/>
      <c r="O91" s="204"/>
      <c r="P91" s="204"/>
      <c r="Q91" s="23"/>
      <c r="R91" s="23"/>
      <c r="S91" s="23"/>
    </row>
    <row r="92" spans="1:28" ht="16.5" customHeight="1">
      <c r="A92" s="88"/>
      <c r="B92" s="253"/>
      <c r="C92" s="254"/>
      <c r="D92" s="270"/>
      <c r="E92" s="271"/>
      <c r="F92" s="89"/>
      <c r="G92" s="89"/>
      <c r="H92" s="89"/>
      <c r="I92" s="89"/>
      <c r="J92" s="88"/>
      <c r="K92" s="23"/>
      <c r="L92" s="23"/>
      <c r="M92" s="23"/>
      <c r="N92" s="23"/>
      <c r="O92" s="23"/>
      <c r="P92" s="23"/>
      <c r="Q92" s="23"/>
      <c r="R92" s="23"/>
      <c r="S92" s="23"/>
    </row>
    <row r="93" spans="1:28" ht="16.5" customHeight="1">
      <c r="A93" s="88"/>
      <c r="B93" s="253"/>
      <c r="C93" s="254"/>
      <c r="D93" s="270"/>
      <c r="E93" s="271"/>
      <c r="F93" s="89"/>
      <c r="G93" s="89"/>
      <c r="H93" s="89"/>
      <c r="I93" s="89"/>
      <c r="J93" s="88"/>
      <c r="K93" s="23"/>
      <c r="L93" s="23"/>
      <c r="M93" s="23"/>
      <c r="N93" s="23"/>
      <c r="O93" s="23"/>
      <c r="P93" s="23"/>
      <c r="Q93" s="23"/>
      <c r="R93" s="23"/>
      <c r="S93" s="23"/>
    </row>
    <row r="94" spans="1:28" ht="16.5" customHeight="1">
      <c r="A94" s="88"/>
      <c r="B94" s="253"/>
      <c r="C94" s="254"/>
      <c r="D94" s="270"/>
      <c r="E94" s="271"/>
      <c r="F94" s="89"/>
      <c r="G94" s="89"/>
      <c r="H94" s="89"/>
      <c r="I94" s="89"/>
      <c r="J94" s="88"/>
      <c r="K94" s="23"/>
      <c r="L94" s="23"/>
      <c r="M94" s="23"/>
      <c r="N94" s="23"/>
      <c r="O94" s="23"/>
      <c r="P94" s="23"/>
      <c r="Q94" s="23"/>
      <c r="R94" s="23"/>
      <c r="S94" s="23"/>
    </row>
    <row r="95" spans="1:28" ht="16.5" customHeight="1">
      <c r="A95" s="88"/>
      <c r="B95" s="253"/>
      <c r="C95" s="254"/>
      <c r="D95" s="270"/>
      <c r="E95" s="271"/>
      <c r="F95" s="89"/>
      <c r="G95" s="89"/>
      <c r="H95" s="89"/>
      <c r="I95" s="89"/>
      <c r="J95" s="88"/>
      <c r="K95" s="23"/>
      <c r="L95" s="23"/>
      <c r="M95" s="23"/>
      <c r="N95" s="23"/>
      <c r="O95" s="23"/>
      <c r="P95" s="23"/>
      <c r="Q95" s="23"/>
      <c r="R95" s="23"/>
      <c r="S95" s="23"/>
    </row>
    <row r="96" spans="1:28" ht="16.5" customHeight="1">
      <c r="A96" s="88"/>
      <c r="B96" s="253"/>
      <c r="C96" s="254"/>
      <c r="D96" s="270"/>
      <c r="E96" s="271"/>
      <c r="F96" s="89"/>
      <c r="G96" s="89"/>
      <c r="H96" s="89"/>
      <c r="I96" s="89"/>
      <c r="J96" s="88"/>
      <c r="K96" s="23"/>
      <c r="L96" s="23"/>
      <c r="P96" s="23"/>
      <c r="S96" s="23"/>
    </row>
    <row r="97" spans="1:19" ht="16.5" customHeight="1">
      <c r="A97" s="88"/>
      <c r="B97" s="253"/>
      <c r="C97" s="254"/>
      <c r="D97" s="270"/>
      <c r="E97" s="271"/>
      <c r="F97" s="89"/>
      <c r="G97" s="89"/>
      <c r="H97" s="89"/>
      <c r="I97" s="89"/>
      <c r="J97" s="88"/>
      <c r="K97" s="23"/>
      <c r="L97" s="23"/>
      <c r="P97" s="23"/>
      <c r="Q97" s="23"/>
      <c r="R97" s="23"/>
      <c r="S97" s="23"/>
    </row>
    <row r="98" spans="1:19" ht="16.5" customHeight="1">
      <c r="A98" s="88"/>
      <c r="B98" s="253"/>
      <c r="C98" s="254"/>
      <c r="D98" s="270"/>
      <c r="E98" s="271"/>
      <c r="F98" s="89"/>
      <c r="G98" s="89"/>
      <c r="H98" s="89"/>
      <c r="I98" s="89"/>
      <c r="J98" s="88"/>
      <c r="K98" s="23"/>
      <c r="L98" s="23"/>
      <c r="P98" s="23"/>
      <c r="Q98" s="23"/>
      <c r="R98" s="23"/>
      <c r="S98" s="23"/>
    </row>
    <row r="99" spans="1:19" ht="16.5" customHeight="1">
      <c r="K99" s="23"/>
      <c r="L99" s="23"/>
      <c r="P99" s="23"/>
      <c r="Q99" s="23"/>
      <c r="R99" s="23"/>
      <c r="S99" s="23"/>
    </row>
    <row r="100" spans="1:19" ht="16.5" customHeight="1">
      <c r="K100" s="23"/>
      <c r="L100" s="23"/>
      <c r="Q100" s="23"/>
      <c r="R100" s="23"/>
      <c r="S100" s="23"/>
    </row>
    <row r="101" spans="1:19" ht="16.5" customHeight="1">
      <c r="K101" s="23"/>
      <c r="L101" s="23"/>
      <c r="P101" s="28"/>
      <c r="S101" s="23"/>
    </row>
    <row r="102" spans="1:19" ht="16.5" customHeight="1">
      <c r="K102" s="23"/>
      <c r="L102" s="23"/>
      <c r="P102" s="28"/>
      <c r="S102" s="23"/>
    </row>
    <row r="103" spans="1:19" ht="16.5" customHeight="1">
      <c r="K103" s="23"/>
      <c r="L103" s="23"/>
      <c r="P103" s="28"/>
      <c r="S103" s="23"/>
    </row>
    <row r="104" spans="1:19" ht="16.5" customHeight="1">
      <c r="K104" s="23"/>
      <c r="L104" s="23"/>
      <c r="P104" s="28"/>
      <c r="S104" s="23"/>
    </row>
    <row r="105" spans="1:19" ht="16.5" customHeight="1">
      <c r="K105" s="23"/>
      <c r="L105" s="23"/>
      <c r="S105" s="23"/>
    </row>
    <row r="106" spans="1:19" ht="16.5" customHeight="1">
      <c r="A106" s="23"/>
      <c r="B106" s="23"/>
      <c r="C106" s="23"/>
      <c r="D106" s="23"/>
      <c r="E106" s="23"/>
      <c r="F106" s="23"/>
      <c r="G106" s="23"/>
      <c r="H106" s="23"/>
      <c r="I106" s="23"/>
      <c r="J106" s="23"/>
      <c r="K106" s="23"/>
      <c r="L106" s="23"/>
      <c r="Q106" s="23"/>
      <c r="R106" s="23"/>
      <c r="S106" s="23"/>
    </row>
    <row r="107" spans="1:19" ht="16.5" customHeight="1">
      <c r="A107" s="23"/>
      <c r="B107" s="23"/>
      <c r="C107" s="23"/>
      <c r="D107" s="23"/>
      <c r="E107" s="23"/>
      <c r="F107" s="23"/>
      <c r="G107" s="23"/>
      <c r="H107" s="23"/>
      <c r="I107" s="23"/>
      <c r="J107" s="23"/>
      <c r="K107" s="23"/>
      <c r="L107" s="23"/>
      <c r="Q107" s="23"/>
      <c r="R107" s="23"/>
      <c r="S107" s="23"/>
    </row>
    <row r="108" spans="1:19" ht="16.5" customHeight="1">
      <c r="A108" s="23"/>
      <c r="B108" s="23"/>
      <c r="C108" s="23"/>
      <c r="D108" s="23"/>
      <c r="E108" s="23"/>
      <c r="F108" s="23"/>
      <c r="G108" s="23"/>
      <c r="H108" s="23"/>
      <c r="I108" s="23"/>
      <c r="J108" s="23"/>
      <c r="K108" s="23"/>
      <c r="L108" s="23"/>
      <c r="Q108" s="23"/>
      <c r="R108" s="23"/>
      <c r="S108" s="23"/>
    </row>
    <row r="109" spans="1:19" ht="16.5" customHeight="1">
      <c r="A109" s="23"/>
      <c r="B109" s="23"/>
      <c r="C109" s="23"/>
      <c r="D109" s="23"/>
      <c r="E109" s="23"/>
      <c r="F109" s="23"/>
      <c r="G109" s="23"/>
      <c r="H109" s="23"/>
      <c r="I109" s="23"/>
      <c r="J109" s="23"/>
      <c r="K109" s="23"/>
      <c r="L109" s="23"/>
      <c r="Q109" s="23"/>
      <c r="R109" s="23"/>
      <c r="S109" s="23"/>
    </row>
    <row r="110" spans="1:19" ht="16.5" customHeight="1">
      <c r="A110" s="29"/>
      <c r="B110" s="30"/>
      <c r="C110" s="30"/>
      <c r="D110" s="30"/>
      <c r="E110" s="30"/>
      <c r="F110" s="30"/>
      <c r="G110" s="28"/>
      <c r="H110" s="28"/>
      <c r="I110" s="31"/>
      <c r="J110" s="32"/>
      <c r="K110" s="23"/>
      <c r="L110" s="23"/>
      <c r="M110" s="23"/>
      <c r="N110" s="23"/>
      <c r="O110" s="23"/>
      <c r="P110" s="23"/>
      <c r="Q110" s="23"/>
      <c r="R110" s="23"/>
      <c r="S110" s="23"/>
    </row>
    <row r="111" spans="1:19" ht="16.5" customHeight="1">
      <c r="A111" s="29"/>
      <c r="B111" s="30"/>
      <c r="C111" s="30"/>
      <c r="D111" s="30"/>
      <c r="E111" s="30"/>
      <c r="F111" s="30"/>
      <c r="G111" s="28"/>
      <c r="H111" s="28"/>
      <c r="I111" s="31"/>
      <c r="J111" s="32"/>
      <c r="K111" s="23"/>
      <c r="L111" s="23"/>
      <c r="M111" s="23"/>
      <c r="N111" s="23"/>
      <c r="O111" s="23"/>
      <c r="P111" s="23"/>
      <c r="Q111" s="23"/>
      <c r="R111" s="23"/>
      <c r="S111" s="23"/>
    </row>
    <row r="112" spans="1:19" ht="16.5" customHeight="1">
      <c r="A112" s="29"/>
      <c r="B112" s="30"/>
      <c r="C112" s="30"/>
      <c r="D112" s="30"/>
      <c r="E112" s="30"/>
      <c r="F112" s="30"/>
      <c r="G112" s="28"/>
      <c r="H112" s="28"/>
      <c r="I112" s="31"/>
      <c r="J112" s="32"/>
      <c r="K112" s="23"/>
      <c r="L112" s="23"/>
      <c r="M112" s="23"/>
      <c r="N112" s="23"/>
      <c r="O112" s="23"/>
      <c r="P112" s="23"/>
      <c r="Q112" s="23"/>
      <c r="R112" s="23"/>
      <c r="S112" s="23"/>
    </row>
    <row r="113" spans="1:19" ht="16.5" customHeight="1">
      <c r="A113" s="22"/>
      <c r="B113" s="22"/>
      <c r="C113" s="22"/>
      <c r="D113" s="30"/>
      <c r="E113" s="30"/>
      <c r="F113" s="30"/>
      <c r="G113" s="28"/>
      <c r="H113" s="28"/>
      <c r="I113" s="22"/>
      <c r="J113" s="25"/>
      <c r="K113" s="23"/>
      <c r="L113" s="23"/>
      <c r="M113" s="23"/>
      <c r="N113" s="23"/>
      <c r="O113" s="23"/>
      <c r="P113" s="23"/>
      <c r="Q113" s="23"/>
      <c r="R113" s="23"/>
      <c r="S113" s="23"/>
    </row>
    <row r="114" spans="1:19" ht="16.5" customHeight="1">
      <c r="A114" s="23"/>
      <c r="B114" s="23"/>
      <c r="C114" s="23"/>
      <c r="D114" s="30"/>
      <c r="E114" s="30"/>
      <c r="F114" s="30"/>
      <c r="G114" s="28"/>
      <c r="H114" s="28"/>
      <c r="I114" s="22"/>
      <c r="J114" s="23"/>
      <c r="K114" s="23"/>
      <c r="L114" s="23"/>
      <c r="M114" s="23"/>
      <c r="N114" s="23"/>
      <c r="O114" s="23"/>
      <c r="P114" s="23"/>
      <c r="Q114" s="23"/>
      <c r="R114" s="23"/>
      <c r="S114" s="23"/>
    </row>
    <row r="115" spans="1:19" ht="16.5" customHeight="1">
      <c r="A115" s="29"/>
      <c r="B115" s="30"/>
      <c r="C115" s="30"/>
      <c r="D115" s="30"/>
      <c r="E115" s="30"/>
      <c r="F115" s="30"/>
      <c r="G115" s="28"/>
      <c r="H115" s="28"/>
      <c r="I115" s="31"/>
      <c r="J115" s="32"/>
      <c r="K115" s="23"/>
      <c r="L115" s="23"/>
      <c r="M115" s="23"/>
      <c r="N115" s="23"/>
      <c r="O115" s="23"/>
      <c r="P115" s="23"/>
      <c r="Q115" s="23"/>
      <c r="R115" s="23"/>
      <c r="S115" s="23"/>
    </row>
    <row r="116" spans="1:19" ht="16.5" customHeight="1">
      <c r="A116" s="23"/>
      <c r="B116" s="23"/>
      <c r="C116" s="23"/>
      <c r="D116" s="23"/>
      <c r="E116" s="23"/>
      <c r="F116" s="23"/>
      <c r="G116" s="23"/>
      <c r="H116" s="23"/>
      <c r="I116" s="23"/>
      <c r="J116" s="23"/>
      <c r="K116" s="23"/>
      <c r="L116" s="23"/>
      <c r="M116" s="23"/>
      <c r="N116" s="23"/>
      <c r="O116" s="23"/>
      <c r="P116" s="23"/>
      <c r="Q116" s="23"/>
      <c r="R116" s="23"/>
      <c r="S116" s="23"/>
    </row>
    <row r="117" spans="1:19" ht="16.5" customHeight="1">
      <c r="A117" s="23"/>
      <c r="B117" s="23"/>
      <c r="C117" s="23"/>
      <c r="D117" s="23"/>
      <c r="E117" s="23"/>
      <c r="F117" s="23"/>
      <c r="G117" s="23"/>
      <c r="H117" s="23"/>
      <c r="I117" s="23"/>
      <c r="J117" s="23"/>
      <c r="K117" s="23"/>
      <c r="L117" s="23"/>
      <c r="M117" s="23"/>
      <c r="N117" s="23"/>
      <c r="O117" s="23"/>
      <c r="P117" s="23"/>
      <c r="Q117" s="23"/>
      <c r="R117" s="23"/>
      <c r="S117" s="23"/>
    </row>
    <row r="118" spans="1:19" ht="16.5" customHeight="1">
      <c r="A118" s="23"/>
      <c r="B118" s="23"/>
      <c r="C118" s="23"/>
      <c r="D118" s="23"/>
      <c r="E118" s="23"/>
      <c r="F118" s="23"/>
      <c r="G118" s="23"/>
      <c r="H118" s="23"/>
      <c r="I118" s="23"/>
      <c r="J118" s="23"/>
      <c r="K118" s="23"/>
      <c r="L118" s="23"/>
      <c r="P118" s="23"/>
      <c r="S118" s="23"/>
    </row>
    <row r="119" spans="1:19" ht="16.5" customHeight="1">
      <c r="A119" s="23"/>
      <c r="B119" s="23"/>
      <c r="C119" s="23"/>
      <c r="D119" s="23"/>
      <c r="E119" s="23"/>
      <c r="F119" s="23"/>
      <c r="G119" s="23"/>
      <c r="H119" s="23"/>
      <c r="I119" s="23"/>
      <c r="J119" s="23"/>
      <c r="K119" s="23"/>
      <c r="L119" s="23"/>
      <c r="P119" s="23"/>
      <c r="Q119" s="23"/>
      <c r="R119" s="23"/>
      <c r="S119" s="23"/>
    </row>
    <row r="120" spans="1:19" ht="16.5" customHeight="1">
      <c r="A120" s="23"/>
      <c r="B120" s="23"/>
      <c r="C120" s="23"/>
      <c r="D120" s="23"/>
      <c r="E120" s="23"/>
      <c r="F120" s="23"/>
      <c r="G120" s="23"/>
      <c r="H120" s="23"/>
      <c r="I120" s="23"/>
      <c r="J120" s="23"/>
      <c r="K120" s="23"/>
      <c r="L120" s="23"/>
      <c r="P120" s="23"/>
      <c r="Q120" s="23"/>
      <c r="R120" s="23"/>
      <c r="S120" s="23"/>
    </row>
    <row r="121" spans="1:19" ht="16.5" customHeight="1">
      <c r="A121" s="29"/>
      <c r="B121" s="30"/>
      <c r="C121" s="30"/>
      <c r="D121" s="30"/>
      <c r="E121" s="30"/>
      <c r="F121" s="30"/>
      <c r="G121" s="28"/>
      <c r="H121" s="28"/>
      <c r="I121" s="31"/>
      <c r="J121" s="32"/>
      <c r="K121" s="23"/>
      <c r="L121" s="23"/>
      <c r="P121" s="23"/>
      <c r="Q121" s="23"/>
      <c r="R121" s="23"/>
      <c r="S121" s="23"/>
    </row>
    <row r="122" spans="1:19" ht="16.5" customHeight="1">
      <c r="A122" s="29"/>
      <c r="B122" s="30"/>
      <c r="C122" s="30"/>
      <c r="D122" s="30"/>
      <c r="E122" s="30"/>
      <c r="F122" s="30"/>
      <c r="G122" s="28"/>
      <c r="H122" s="28"/>
      <c r="I122" s="31"/>
      <c r="J122" s="32"/>
      <c r="K122" s="23"/>
      <c r="L122" s="23"/>
      <c r="Q122" s="23"/>
      <c r="R122" s="23"/>
      <c r="S122" s="23"/>
    </row>
    <row r="123" spans="1:19" ht="16.5" customHeight="1">
      <c r="A123" s="29"/>
      <c r="B123" s="30"/>
      <c r="C123" s="30"/>
      <c r="D123" s="30"/>
      <c r="E123" s="30"/>
      <c r="F123" s="30"/>
      <c r="G123" s="28"/>
      <c r="H123" s="28"/>
      <c r="I123" s="31"/>
      <c r="J123" s="32"/>
      <c r="K123" s="23"/>
      <c r="L123" s="23"/>
      <c r="P123" s="28"/>
      <c r="S123" s="23"/>
    </row>
    <row r="124" spans="1:19" ht="16.5" customHeight="1">
      <c r="A124" s="22"/>
      <c r="B124" s="22"/>
      <c r="C124" s="22"/>
      <c r="D124" s="30"/>
      <c r="E124" s="30"/>
      <c r="F124" s="30"/>
      <c r="G124" s="28"/>
      <c r="H124" s="28"/>
      <c r="I124" s="22"/>
      <c r="J124" s="25"/>
      <c r="K124" s="23"/>
      <c r="L124" s="23"/>
      <c r="P124" s="28"/>
      <c r="S124" s="23"/>
    </row>
    <row r="125" spans="1:19" ht="16.5" customHeight="1">
      <c r="A125" s="23"/>
      <c r="B125" s="23"/>
      <c r="C125" s="23"/>
      <c r="D125" s="30"/>
      <c r="E125" s="30"/>
      <c r="F125" s="30"/>
      <c r="G125" s="28"/>
      <c r="H125" s="28"/>
      <c r="I125" s="22"/>
      <c r="J125" s="23"/>
      <c r="K125" s="23"/>
      <c r="L125" s="23"/>
      <c r="P125" s="28"/>
      <c r="S125" s="23"/>
    </row>
    <row r="126" spans="1:19" ht="16.5" customHeight="1">
      <c r="K126" s="23"/>
      <c r="L126" s="23"/>
      <c r="P126" s="28"/>
      <c r="S126" s="23"/>
    </row>
    <row r="127" spans="1:19" ht="16.5" customHeight="1">
      <c r="K127" s="23"/>
      <c r="L127" s="23"/>
      <c r="S127" s="23"/>
    </row>
    <row r="128" spans="1:19" ht="16.5" customHeight="1">
      <c r="A128" s="23"/>
      <c r="B128" s="23"/>
      <c r="C128" s="23"/>
      <c r="D128" s="23"/>
      <c r="E128" s="23"/>
      <c r="F128" s="23"/>
      <c r="G128" s="23"/>
      <c r="H128" s="23"/>
      <c r="I128" s="23"/>
      <c r="J128" s="23"/>
      <c r="K128" s="23"/>
      <c r="L128" s="23"/>
      <c r="Q128" s="23"/>
      <c r="R128" s="23"/>
      <c r="S128" s="23"/>
    </row>
    <row r="129" spans="1:19" ht="16.5" customHeight="1">
      <c r="A129" s="23"/>
      <c r="B129" s="23"/>
      <c r="C129" s="23"/>
      <c r="D129" s="23"/>
      <c r="E129" s="23"/>
      <c r="F129" s="23"/>
      <c r="G129" s="23"/>
      <c r="H129" s="23"/>
      <c r="I129" s="23"/>
      <c r="J129" s="23"/>
      <c r="K129" s="23"/>
      <c r="L129" s="23"/>
      <c r="Q129" s="23"/>
      <c r="R129" s="23"/>
      <c r="S129" s="23"/>
    </row>
    <row r="130" spans="1:19" ht="16.5" customHeight="1">
      <c r="A130" s="23"/>
      <c r="B130" s="23"/>
      <c r="C130" s="23"/>
      <c r="D130" s="23"/>
      <c r="E130" s="23"/>
      <c r="F130" s="23"/>
      <c r="G130" s="23"/>
      <c r="H130" s="23"/>
      <c r="I130" s="23"/>
      <c r="J130" s="23"/>
      <c r="K130" s="23"/>
      <c r="L130" s="23"/>
      <c r="Q130" s="23"/>
      <c r="R130" s="23"/>
      <c r="S130" s="23"/>
    </row>
    <row r="131" spans="1:19" ht="16.5" customHeight="1">
      <c r="A131" s="23"/>
      <c r="B131" s="23"/>
      <c r="C131" s="23"/>
      <c r="D131" s="23"/>
      <c r="E131" s="23"/>
      <c r="F131" s="23"/>
      <c r="G131" s="23"/>
      <c r="H131" s="23"/>
      <c r="I131" s="23"/>
      <c r="J131" s="23"/>
      <c r="K131" s="23"/>
      <c r="L131" s="23"/>
      <c r="Q131" s="23"/>
      <c r="R131" s="23"/>
      <c r="S131" s="23"/>
    </row>
    <row r="132" spans="1:19" ht="16.5" customHeight="1">
      <c r="A132" s="29"/>
      <c r="B132" s="30"/>
      <c r="C132" s="30"/>
      <c r="D132" s="30"/>
      <c r="E132" s="30"/>
      <c r="F132" s="30"/>
      <c r="G132" s="28"/>
      <c r="H132" s="28"/>
      <c r="I132" s="31"/>
      <c r="J132" s="32"/>
      <c r="K132" s="23"/>
      <c r="L132" s="23"/>
      <c r="M132" s="23"/>
      <c r="N132" s="23"/>
      <c r="O132" s="23"/>
      <c r="P132" s="23"/>
      <c r="Q132" s="23"/>
      <c r="R132" s="23"/>
      <c r="S132" s="23"/>
    </row>
    <row r="133" spans="1:19" ht="16.5" customHeight="1">
      <c r="A133" s="29"/>
      <c r="B133" s="30"/>
      <c r="C133" s="30"/>
      <c r="D133" s="30"/>
      <c r="E133" s="30"/>
      <c r="F133" s="30"/>
      <c r="G133" s="28"/>
      <c r="H133" s="28"/>
      <c r="I133" s="31"/>
      <c r="J133" s="32"/>
      <c r="K133" s="23"/>
      <c r="L133" s="23"/>
      <c r="M133" s="23"/>
      <c r="N133" s="23"/>
      <c r="O133" s="23"/>
      <c r="P133" s="23"/>
      <c r="Q133" s="23"/>
      <c r="R133" s="23"/>
      <c r="S133" s="23"/>
    </row>
    <row r="134" spans="1:19" ht="16.5" customHeight="1">
      <c r="A134" s="29"/>
      <c r="B134" s="30"/>
      <c r="C134" s="30"/>
      <c r="D134" s="30"/>
      <c r="E134" s="30"/>
      <c r="F134" s="30"/>
      <c r="G134" s="28"/>
      <c r="H134" s="28"/>
      <c r="I134" s="31"/>
      <c r="J134" s="32"/>
      <c r="K134" s="23"/>
      <c r="L134" s="23"/>
      <c r="M134" s="23"/>
      <c r="N134" s="23"/>
      <c r="O134" s="23"/>
      <c r="P134" s="23"/>
      <c r="Q134" s="23"/>
      <c r="R134" s="23"/>
      <c r="S134" s="23"/>
    </row>
    <row r="135" spans="1:19" ht="16.5" customHeight="1">
      <c r="A135" s="22"/>
      <c r="B135" s="22"/>
      <c r="C135" s="22"/>
      <c r="D135" s="30"/>
      <c r="E135" s="30"/>
      <c r="F135" s="30"/>
      <c r="G135" s="28"/>
      <c r="H135" s="28"/>
      <c r="I135" s="22"/>
      <c r="J135" s="25"/>
      <c r="K135" s="23"/>
      <c r="L135" s="23"/>
      <c r="M135" s="23"/>
      <c r="N135" s="23"/>
      <c r="O135" s="23"/>
      <c r="P135" s="23"/>
      <c r="Q135" s="23"/>
      <c r="R135" s="23"/>
      <c r="S135" s="23"/>
    </row>
    <row r="136" spans="1:19" ht="16.5" customHeight="1">
      <c r="A136" s="23"/>
      <c r="B136" s="23"/>
      <c r="C136" s="23"/>
      <c r="D136" s="30"/>
      <c r="E136" s="30"/>
      <c r="F136" s="30"/>
      <c r="G136" s="28"/>
      <c r="H136" s="28"/>
      <c r="I136" s="22"/>
      <c r="J136" s="23"/>
      <c r="K136" s="23"/>
      <c r="L136" s="23"/>
      <c r="M136" s="23"/>
      <c r="N136" s="23"/>
      <c r="O136" s="23"/>
      <c r="P136" s="23"/>
      <c r="Q136" s="23"/>
      <c r="R136" s="23"/>
      <c r="S136" s="23"/>
    </row>
    <row r="137" spans="1:19" ht="16.5" customHeight="1">
      <c r="K137" s="23"/>
      <c r="L137" s="23"/>
      <c r="M137" s="23"/>
      <c r="N137" s="23"/>
      <c r="O137" s="23"/>
      <c r="P137" s="23"/>
      <c r="Q137" s="23"/>
      <c r="R137" s="23"/>
      <c r="S137" s="23"/>
    </row>
    <row r="138" spans="1:19" ht="16.5" customHeight="1">
      <c r="K138" s="23"/>
      <c r="L138" s="23"/>
      <c r="M138" s="23"/>
      <c r="N138" s="23"/>
      <c r="O138" s="23"/>
      <c r="P138" s="23"/>
      <c r="Q138" s="23"/>
      <c r="R138" s="23"/>
      <c r="S138" s="23"/>
    </row>
    <row r="139" spans="1:19" ht="16.5" customHeight="1">
      <c r="K139" s="23"/>
      <c r="L139" s="23"/>
      <c r="M139" s="23"/>
      <c r="N139" s="23"/>
      <c r="O139" s="23"/>
      <c r="P139" s="23"/>
      <c r="Q139" s="23"/>
      <c r="R139" s="23"/>
      <c r="S139" s="23"/>
    </row>
    <row r="140" spans="1:19" ht="16.5" customHeight="1">
      <c r="A140" s="29"/>
      <c r="B140" s="30"/>
      <c r="C140" s="30"/>
      <c r="D140" s="30"/>
      <c r="E140" s="30"/>
      <c r="F140" s="30"/>
      <c r="G140" s="28"/>
      <c r="H140" s="28"/>
      <c r="I140" s="31"/>
      <c r="J140" s="32"/>
      <c r="K140" s="23"/>
      <c r="L140" s="23"/>
      <c r="P140" s="23"/>
      <c r="S140" s="23"/>
    </row>
    <row r="141" spans="1:19" ht="16.5" customHeight="1">
      <c r="A141" s="23"/>
      <c r="B141" s="23"/>
      <c r="C141" s="23"/>
      <c r="D141" s="23"/>
      <c r="E141" s="23"/>
      <c r="F141" s="23"/>
      <c r="G141" s="23"/>
      <c r="H141" s="23"/>
      <c r="I141" s="23"/>
      <c r="J141" s="23"/>
      <c r="K141" s="23"/>
      <c r="L141" s="23"/>
      <c r="P141" s="23"/>
      <c r="Q141" s="23"/>
      <c r="R141" s="23"/>
      <c r="S141" s="23"/>
    </row>
    <row r="142" spans="1:19" ht="16.5" customHeight="1">
      <c r="A142" s="23"/>
      <c r="B142" s="23"/>
      <c r="C142" s="23"/>
      <c r="D142" s="23"/>
      <c r="E142" s="23"/>
      <c r="F142" s="23"/>
      <c r="G142" s="23"/>
      <c r="H142" s="23"/>
      <c r="I142" s="23"/>
      <c r="J142" s="23"/>
      <c r="K142" s="23"/>
      <c r="L142" s="23"/>
      <c r="P142" s="23"/>
      <c r="Q142" s="23"/>
      <c r="R142" s="23"/>
      <c r="S142" s="23"/>
    </row>
    <row r="143" spans="1:19" ht="16.5" customHeight="1">
      <c r="A143" s="23"/>
      <c r="B143" s="23"/>
      <c r="C143" s="23"/>
      <c r="D143" s="23"/>
      <c r="E143" s="23"/>
      <c r="F143" s="23"/>
      <c r="G143" s="23"/>
      <c r="H143" s="23"/>
      <c r="I143" s="23"/>
      <c r="J143" s="23"/>
      <c r="K143" s="23"/>
      <c r="L143" s="23"/>
      <c r="P143" s="23"/>
      <c r="Q143" s="23"/>
      <c r="R143" s="23"/>
      <c r="S143" s="23"/>
    </row>
    <row r="144" spans="1:19" ht="16.5" customHeight="1">
      <c r="A144" s="23"/>
      <c r="B144" s="23"/>
      <c r="C144" s="23"/>
      <c r="D144" s="23"/>
      <c r="E144" s="23"/>
      <c r="F144" s="23"/>
      <c r="G144" s="23"/>
      <c r="H144" s="23"/>
      <c r="I144" s="23"/>
      <c r="J144" s="23"/>
      <c r="K144" s="23"/>
      <c r="L144" s="23"/>
      <c r="Q144" s="23"/>
      <c r="R144" s="23"/>
      <c r="S144" s="23"/>
    </row>
    <row r="145" spans="1:19" ht="16.5" customHeight="1">
      <c r="A145" s="23"/>
      <c r="B145" s="23"/>
      <c r="C145" s="23"/>
      <c r="D145" s="23"/>
      <c r="E145" s="23"/>
      <c r="F145" s="23"/>
      <c r="G145" s="23"/>
      <c r="H145" s="23"/>
      <c r="I145" s="23"/>
      <c r="J145" s="23"/>
      <c r="K145" s="23"/>
      <c r="L145" s="23"/>
      <c r="P145" s="28"/>
      <c r="S145" s="23"/>
    </row>
    <row r="146" spans="1:19" ht="16.5" customHeight="1">
      <c r="A146" s="29"/>
      <c r="B146" s="30"/>
      <c r="C146" s="30"/>
      <c r="D146" s="30"/>
      <c r="E146" s="30"/>
      <c r="F146" s="30"/>
      <c r="G146" s="28"/>
      <c r="H146" s="28"/>
      <c r="I146" s="31"/>
      <c r="J146" s="32"/>
      <c r="K146" s="23"/>
      <c r="L146" s="23"/>
      <c r="P146" s="28"/>
      <c r="S146" s="23"/>
    </row>
    <row r="147" spans="1:19" ht="16.5" customHeight="1">
      <c r="A147" s="29"/>
      <c r="B147" s="30"/>
      <c r="C147" s="30"/>
      <c r="D147" s="30"/>
      <c r="E147" s="30"/>
      <c r="F147" s="30"/>
      <c r="G147" s="28"/>
      <c r="H147" s="28"/>
      <c r="I147" s="31"/>
      <c r="J147" s="32"/>
      <c r="K147" s="23"/>
      <c r="L147" s="23"/>
      <c r="P147" s="28"/>
      <c r="S147" s="23"/>
    </row>
    <row r="148" spans="1:19" ht="16.5" customHeight="1">
      <c r="A148" s="29"/>
      <c r="B148" s="30"/>
      <c r="C148" s="30"/>
      <c r="D148" s="30"/>
      <c r="E148" s="30"/>
      <c r="F148" s="30"/>
      <c r="G148" s="28"/>
      <c r="H148" s="28"/>
      <c r="I148" s="31"/>
      <c r="J148" s="32"/>
      <c r="K148" s="23"/>
      <c r="L148" s="23"/>
      <c r="P148" s="28"/>
      <c r="S148" s="23"/>
    </row>
    <row r="149" spans="1:19" ht="16.5" customHeight="1">
      <c r="A149" s="22"/>
      <c r="B149" s="22"/>
      <c r="C149" s="22"/>
      <c r="D149" s="30"/>
      <c r="E149" s="30"/>
      <c r="F149" s="30"/>
      <c r="G149" s="28"/>
      <c r="H149" s="28"/>
      <c r="I149" s="22"/>
      <c r="J149" s="25"/>
      <c r="S149" s="23"/>
    </row>
    <row r="150" spans="1:19" ht="16.5" customHeight="1">
      <c r="A150" s="23"/>
      <c r="B150" s="23"/>
      <c r="C150" s="23"/>
      <c r="D150" s="30"/>
      <c r="E150" s="30"/>
      <c r="F150" s="30"/>
      <c r="G150" s="28"/>
      <c r="H150" s="28"/>
      <c r="I150" s="22"/>
      <c r="J150" s="23"/>
      <c r="S150" s="23"/>
    </row>
    <row r="151" spans="1:19" ht="16.5" customHeight="1">
      <c r="S151" s="23"/>
    </row>
    <row r="152" spans="1:19" ht="16.5" customHeight="1">
      <c r="Q152" s="23"/>
      <c r="R152" s="23"/>
      <c r="S152" s="23"/>
    </row>
    <row r="153" spans="1:19" ht="16.5" customHeight="1">
      <c r="Q153" s="23"/>
      <c r="R153" s="23"/>
      <c r="S153" s="23"/>
    </row>
    <row r="154" spans="1:19" ht="16.5" customHeight="1">
      <c r="A154" s="29"/>
      <c r="B154" s="30"/>
      <c r="C154" s="30"/>
      <c r="D154" s="30"/>
      <c r="E154" s="30"/>
      <c r="F154" s="30"/>
      <c r="G154" s="28"/>
      <c r="H154" s="28"/>
      <c r="I154" s="31"/>
      <c r="J154" s="32"/>
      <c r="Q154" s="23"/>
      <c r="R154" s="23"/>
      <c r="S154" s="23"/>
    </row>
    <row r="155" spans="1:19" ht="16.5" customHeight="1">
      <c r="A155" s="23"/>
      <c r="B155" s="23"/>
      <c r="C155" s="23"/>
      <c r="D155" s="23"/>
      <c r="E155" s="23"/>
      <c r="F155" s="23"/>
      <c r="G155" s="23"/>
      <c r="H155" s="23"/>
      <c r="I155" s="23"/>
      <c r="J155" s="23"/>
      <c r="Q155" s="23"/>
      <c r="R155" s="23"/>
      <c r="S155" s="23"/>
    </row>
    <row r="156" spans="1:19" ht="16.5" customHeight="1">
      <c r="A156" s="23"/>
      <c r="B156" s="23"/>
      <c r="C156" s="23"/>
      <c r="D156" s="23"/>
      <c r="E156" s="23"/>
      <c r="F156" s="23"/>
      <c r="G156" s="23"/>
      <c r="H156" s="23"/>
      <c r="I156" s="23"/>
      <c r="J156" s="23"/>
      <c r="K156" s="23"/>
      <c r="L156" s="23"/>
      <c r="M156" s="23"/>
      <c r="N156" s="23"/>
      <c r="O156" s="23"/>
      <c r="P156" s="23"/>
      <c r="Q156" s="23"/>
      <c r="R156" s="23"/>
      <c r="S156" s="23"/>
    </row>
    <row r="157" spans="1:19" ht="16.5" customHeight="1">
      <c r="A157" s="23"/>
      <c r="B157" s="23"/>
      <c r="C157" s="23"/>
      <c r="D157" s="23"/>
      <c r="E157" s="23"/>
      <c r="F157" s="23"/>
      <c r="G157" s="23"/>
      <c r="H157" s="23"/>
      <c r="I157" s="23"/>
      <c r="J157" s="23"/>
      <c r="K157" s="23"/>
      <c r="L157" s="23"/>
      <c r="M157" s="23"/>
      <c r="N157" s="23"/>
      <c r="O157" s="23"/>
      <c r="P157" s="23"/>
      <c r="Q157" s="23"/>
      <c r="R157" s="23"/>
      <c r="S157" s="23"/>
    </row>
    <row r="158" spans="1:19" ht="16.5" customHeight="1">
      <c r="A158" s="23"/>
      <c r="B158" s="23"/>
      <c r="C158" s="23"/>
      <c r="D158" s="23"/>
      <c r="E158" s="23"/>
      <c r="F158" s="23"/>
      <c r="G158" s="23"/>
      <c r="H158" s="23"/>
      <c r="I158" s="23"/>
      <c r="J158" s="23"/>
      <c r="K158" s="23"/>
      <c r="L158" s="23"/>
      <c r="M158" s="23"/>
      <c r="N158" s="23"/>
      <c r="O158" s="23"/>
      <c r="P158" s="23"/>
      <c r="Q158" s="23"/>
      <c r="R158" s="23"/>
      <c r="S158" s="23"/>
    </row>
    <row r="159" spans="1:19" ht="16.5" customHeight="1">
      <c r="A159" s="29"/>
      <c r="B159" s="30"/>
      <c r="C159" s="30"/>
      <c r="D159" s="30"/>
      <c r="E159" s="30"/>
      <c r="F159" s="30"/>
      <c r="G159" s="28"/>
      <c r="H159" s="28"/>
      <c r="I159" s="31"/>
      <c r="J159" s="32"/>
      <c r="K159" s="23"/>
      <c r="L159" s="23"/>
      <c r="M159" s="23"/>
      <c r="N159" s="23"/>
      <c r="O159" s="23"/>
      <c r="P159" s="23"/>
      <c r="Q159" s="23"/>
      <c r="R159" s="23"/>
      <c r="S159" s="23"/>
    </row>
    <row r="160" spans="1:19" ht="16.5" customHeight="1">
      <c r="A160" s="29"/>
      <c r="B160" s="30"/>
      <c r="C160" s="30"/>
      <c r="D160" s="30"/>
      <c r="E160" s="30"/>
      <c r="F160" s="30"/>
      <c r="G160" s="28"/>
      <c r="H160" s="28"/>
      <c r="I160" s="31"/>
      <c r="J160" s="32"/>
      <c r="K160" s="23"/>
      <c r="L160" s="23"/>
      <c r="M160" s="23"/>
      <c r="N160" s="23"/>
      <c r="O160" s="23"/>
      <c r="P160" s="23"/>
      <c r="Q160" s="23"/>
      <c r="R160" s="23"/>
      <c r="S160" s="23"/>
    </row>
    <row r="161" spans="1:19" ht="16.5" customHeight="1">
      <c r="A161" s="29"/>
      <c r="B161" s="30"/>
      <c r="C161" s="30"/>
      <c r="D161" s="30"/>
      <c r="E161" s="30"/>
      <c r="F161" s="30"/>
      <c r="G161" s="28"/>
      <c r="H161" s="28"/>
      <c r="I161" s="31"/>
      <c r="J161" s="32"/>
      <c r="K161" s="23"/>
      <c r="L161" s="23"/>
      <c r="M161" s="23"/>
      <c r="N161" s="23"/>
      <c r="O161" s="23"/>
      <c r="P161" s="23"/>
      <c r="Q161" s="23"/>
      <c r="R161" s="23"/>
      <c r="S161" s="23"/>
    </row>
    <row r="162" spans="1:19" ht="16.5" customHeight="1">
      <c r="A162" s="22"/>
      <c r="B162" s="22"/>
      <c r="C162" s="22"/>
      <c r="D162" s="30"/>
      <c r="E162" s="30"/>
      <c r="F162" s="30"/>
      <c r="G162" s="28"/>
      <c r="H162" s="28"/>
      <c r="I162" s="22"/>
      <c r="J162" s="25"/>
      <c r="K162" s="23"/>
      <c r="L162" s="23"/>
      <c r="M162" s="23"/>
      <c r="N162" s="23"/>
      <c r="O162" s="23"/>
      <c r="P162" s="23"/>
      <c r="Q162" s="23"/>
      <c r="R162" s="23"/>
      <c r="S162" s="23"/>
    </row>
    <row r="163" spans="1:19" ht="16.5" customHeight="1">
      <c r="A163" s="23"/>
      <c r="B163" s="23"/>
      <c r="C163" s="23"/>
      <c r="D163" s="30"/>
      <c r="E163" s="30"/>
      <c r="F163" s="30"/>
      <c r="G163" s="28"/>
      <c r="H163" s="28"/>
      <c r="I163" s="22"/>
      <c r="J163" s="23"/>
      <c r="K163" s="23"/>
      <c r="L163" s="23"/>
      <c r="M163" s="23"/>
      <c r="N163" s="23"/>
      <c r="O163" s="23"/>
      <c r="P163" s="23"/>
      <c r="Q163" s="23"/>
      <c r="R163" s="23"/>
      <c r="S163" s="23"/>
    </row>
    <row r="164" spans="1:19" ht="16.5" customHeight="1">
      <c r="K164" s="23"/>
      <c r="L164" s="23"/>
      <c r="M164" s="23"/>
      <c r="N164" s="23"/>
      <c r="O164" s="23"/>
      <c r="P164" s="23"/>
      <c r="Q164" s="23"/>
      <c r="R164" s="23"/>
      <c r="S164" s="23"/>
    </row>
    <row r="165" spans="1:19" ht="16.5" customHeight="1">
      <c r="K165" s="23"/>
      <c r="L165" s="23"/>
      <c r="M165" s="23"/>
      <c r="N165" s="23"/>
      <c r="O165" s="23"/>
      <c r="P165" s="23"/>
      <c r="Q165" s="23"/>
      <c r="R165" s="23"/>
      <c r="S165" s="23"/>
    </row>
    <row r="166" spans="1:19" ht="16.5" customHeight="1">
      <c r="K166" s="23"/>
      <c r="L166" s="23"/>
      <c r="M166" s="23"/>
      <c r="N166" s="23"/>
      <c r="O166" s="23"/>
      <c r="P166" s="23"/>
      <c r="Q166" s="23"/>
      <c r="R166" s="23"/>
      <c r="S166" s="23"/>
    </row>
    <row r="167" spans="1:19" ht="16.5" customHeight="1">
      <c r="A167" s="29"/>
      <c r="B167" s="30"/>
      <c r="C167" s="30"/>
      <c r="D167" s="30"/>
      <c r="E167" s="30"/>
      <c r="F167" s="30"/>
      <c r="G167" s="28"/>
      <c r="H167" s="28"/>
      <c r="I167" s="31"/>
      <c r="J167" s="32"/>
      <c r="K167" s="23"/>
      <c r="L167" s="23"/>
      <c r="P167" s="23"/>
      <c r="Q167" s="23"/>
      <c r="R167" s="23"/>
      <c r="S167" s="23"/>
    </row>
    <row r="168" spans="1:19" ht="16.5" customHeight="1">
      <c r="A168" s="29"/>
      <c r="B168" s="30"/>
      <c r="C168" s="30"/>
      <c r="D168" s="30"/>
      <c r="E168" s="30"/>
      <c r="F168" s="30"/>
      <c r="G168" s="28"/>
      <c r="H168" s="28"/>
      <c r="I168" s="31"/>
      <c r="J168" s="32"/>
      <c r="K168" s="23"/>
      <c r="L168" s="23"/>
      <c r="P168" s="23"/>
      <c r="Q168" s="23"/>
      <c r="R168" s="23"/>
      <c r="S168" s="23"/>
    </row>
    <row r="169" spans="1:19" ht="16.5" customHeight="1">
      <c r="A169" s="29"/>
      <c r="B169" s="30"/>
      <c r="C169" s="30"/>
      <c r="D169" s="30"/>
      <c r="E169" s="30"/>
      <c r="F169" s="30"/>
      <c r="G169" s="28"/>
      <c r="H169" s="28"/>
      <c r="I169" s="31"/>
      <c r="J169" s="32"/>
      <c r="K169" s="23"/>
      <c r="L169" s="23"/>
      <c r="P169" s="23"/>
      <c r="Q169" s="23"/>
      <c r="R169" s="23"/>
      <c r="S169" s="23"/>
    </row>
    <row r="170" spans="1:19" ht="16.5" customHeight="1">
      <c r="A170" s="29"/>
      <c r="B170" s="30"/>
      <c r="C170" s="30"/>
      <c r="D170" s="30"/>
      <c r="E170" s="30"/>
      <c r="F170" s="30"/>
      <c r="G170" s="28"/>
      <c r="H170" s="28"/>
      <c r="I170" s="31"/>
      <c r="J170" s="32"/>
      <c r="K170" s="23"/>
      <c r="L170" s="23"/>
      <c r="P170" s="23"/>
      <c r="Q170" s="23"/>
      <c r="R170" s="23"/>
      <c r="S170" s="23"/>
    </row>
    <row r="171" spans="1:19" ht="16.5" customHeight="1">
      <c r="A171" s="29"/>
      <c r="B171" s="30"/>
      <c r="C171" s="30"/>
      <c r="D171" s="30"/>
      <c r="E171" s="30"/>
      <c r="F171" s="30"/>
      <c r="G171" s="28"/>
      <c r="H171" s="28"/>
      <c r="I171" s="31"/>
      <c r="J171" s="32"/>
      <c r="K171" s="23"/>
      <c r="L171" s="23"/>
      <c r="P171" s="23"/>
      <c r="Q171" s="23"/>
      <c r="R171" s="23"/>
      <c r="S171" s="23"/>
    </row>
    <row r="172" spans="1:19" ht="16.5" customHeight="1">
      <c r="A172" s="29"/>
      <c r="B172" s="30"/>
      <c r="C172" s="30"/>
      <c r="D172" s="30"/>
      <c r="E172" s="30"/>
      <c r="F172" s="30"/>
      <c r="G172" s="28"/>
      <c r="H172" s="28"/>
      <c r="I172" s="31"/>
      <c r="J172" s="32"/>
      <c r="K172" s="23"/>
      <c r="L172" s="23"/>
      <c r="P172" s="23"/>
      <c r="Q172" s="23"/>
      <c r="R172" s="23"/>
      <c r="S172" s="23"/>
    </row>
    <row r="173" spans="1:19" ht="16.5" customHeight="1">
      <c r="A173" s="29"/>
      <c r="B173" s="30"/>
      <c r="C173" s="30"/>
      <c r="D173" s="30"/>
      <c r="E173" s="30"/>
      <c r="F173" s="30"/>
      <c r="G173" s="28"/>
      <c r="H173" s="28"/>
      <c r="I173" s="31"/>
      <c r="J173" s="32"/>
      <c r="K173" s="23"/>
      <c r="L173" s="23"/>
      <c r="P173" s="23"/>
      <c r="Q173" s="23"/>
      <c r="R173" s="23"/>
      <c r="S173" s="23"/>
    </row>
    <row r="174" spans="1:19" ht="16.5" customHeight="1">
      <c r="K174" s="23"/>
      <c r="L174" s="23"/>
      <c r="P174" s="23"/>
      <c r="Q174" s="23"/>
      <c r="R174" s="23"/>
      <c r="S174" s="23"/>
    </row>
    <row r="175" spans="1:19" ht="16.5" customHeight="1">
      <c r="K175" s="23"/>
      <c r="L175" s="23"/>
      <c r="P175" s="23"/>
      <c r="Q175" s="23"/>
      <c r="R175" s="23"/>
      <c r="S175" s="23"/>
    </row>
    <row r="176" spans="1:19" ht="16.5" customHeight="1">
      <c r="A176" s="29"/>
      <c r="B176" s="30"/>
      <c r="C176" s="30"/>
      <c r="D176" s="30"/>
      <c r="E176" s="30"/>
      <c r="F176" s="30"/>
      <c r="G176" s="28"/>
      <c r="H176" s="28"/>
      <c r="I176" s="31"/>
      <c r="J176" s="32"/>
      <c r="K176" s="23"/>
      <c r="L176" s="23"/>
      <c r="P176" s="23"/>
      <c r="Q176" s="23"/>
      <c r="R176" s="23"/>
      <c r="S176" s="23"/>
    </row>
    <row r="177" spans="1:19" ht="16.5" customHeight="1">
      <c r="A177" s="29"/>
      <c r="B177" s="30"/>
      <c r="C177" s="30"/>
      <c r="D177" s="30"/>
      <c r="E177" s="30"/>
      <c r="F177" s="30"/>
      <c r="G177" s="28"/>
      <c r="H177" s="28"/>
      <c r="I177" s="31"/>
      <c r="J177" s="32"/>
      <c r="K177" s="23"/>
      <c r="L177" s="23"/>
      <c r="P177" s="23"/>
      <c r="Q177" s="23"/>
      <c r="R177" s="23"/>
      <c r="S177" s="23"/>
    </row>
    <row r="178" spans="1:19" ht="16.5" customHeight="1">
      <c r="A178" s="29"/>
      <c r="B178" s="30"/>
      <c r="C178" s="30"/>
      <c r="D178" s="30"/>
      <c r="E178" s="30"/>
      <c r="F178" s="30"/>
      <c r="G178" s="28"/>
      <c r="H178" s="28"/>
      <c r="I178" s="31"/>
      <c r="J178" s="32"/>
      <c r="K178" s="23"/>
      <c r="L178" s="23"/>
      <c r="P178" s="23"/>
      <c r="Q178" s="23"/>
      <c r="R178" s="23"/>
      <c r="S178" s="23"/>
    </row>
    <row r="179" spans="1:19" ht="16.5" customHeight="1">
      <c r="A179" s="29"/>
      <c r="B179" s="30"/>
      <c r="C179" s="30"/>
      <c r="D179" s="30"/>
      <c r="E179" s="30"/>
      <c r="F179" s="30"/>
      <c r="G179" s="28"/>
      <c r="H179" s="28"/>
      <c r="I179" s="31"/>
      <c r="J179" s="32"/>
      <c r="K179" s="23"/>
      <c r="L179" s="23"/>
      <c r="P179" s="23"/>
      <c r="Q179" s="23"/>
      <c r="R179" s="23"/>
      <c r="S179" s="23"/>
    </row>
    <row r="180" spans="1:19" ht="16.5" customHeight="1">
      <c r="A180" s="29"/>
      <c r="B180" s="30"/>
      <c r="C180" s="30"/>
      <c r="D180" s="30"/>
      <c r="E180" s="30"/>
      <c r="F180" s="30"/>
      <c r="G180" s="28"/>
      <c r="H180" s="28"/>
      <c r="I180" s="31"/>
      <c r="J180" s="32"/>
      <c r="K180" s="23"/>
      <c r="L180" s="23"/>
      <c r="P180" s="23"/>
      <c r="Q180" s="23"/>
      <c r="R180" s="23"/>
      <c r="S180" s="23"/>
    </row>
    <row r="181" spans="1:19" ht="16.5" customHeight="1">
      <c r="A181" s="29"/>
      <c r="B181" s="30"/>
      <c r="C181" s="30"/>
      <c r="D181" s="30"/>
      <c r="E181" s="30"/>
      <c r="F181" s="30"/>
      <c r="G181" s="28"/>
      <c r="H181" s="28"/>
      <c r="I181" s="31"/>
      <c r="J181" s="32"/>
      <c r="K181" s="23"/>
      <c r="L181" s="23"/>
      <c r="P181" s="23"/>
      <c r="Q181" s="23"/>
      <c r="R181" s="23"/>
      <c r="S181" s="23"/>
    </row>
    <row r="182" spans="1:19" ht="16.5" customHeight="1">
      <c r="A182" s="29"/>
      <c r="B182" s="30"/>
      <c r="C182" s="30"/>
      <c r="D182" s="30"/>
      <c r="E182" s="30"/>
      <c r="F182" s="30"/>
      <c r="G182" s="28"/>
      <c r="H182" s="28"/>
      <c r="I182" s="31"/>
      <c r="J182" s="32"/>
      <c r="K182" s="23"/>
      <c r="L182" s="23"/>
      <c r="P182" s="23"/>
      <c r="Q182" s="23"/>
      <c r="R182" s="23"/>
      <c r="S182" s="23"/>
    </row>
    <row r="183" spans="1:19" ht="16.5" customHeight="1">
      <c r="A183" s="29"/>
      <c r="B183" s="30"/>
      <c r="C183" s="30"/>
      <c r="D183" s="30"/>
      <c r="E183" s="30"/>
      <c r="F183" s="30"/>
      <c r="G183" s="28"/>
      <c r="H183" s="28"/>
      <c r="I183" s="31"/>
      <c r="J183" s="32"/>
      <c r="K183" s="23"/>
      <c r="L183" s="23"/>
      <c r="P183" s="23"/>
      <c r="Q183" s="23"/>
      <c r="R183" s="23"/>
      <c r="S183" s="23"/>
    </row>
    <row r="184" spans="1:19" ht="16.5" customHeight="1">
      <c r="A184" s="29"/>
      <c r="B184" s="30"/>
      <c r="C184" s="30"/>
      <c r="D184" s="30"/>
      <c r="E184" s="30"/>
      <c r="F184" s="30"/>
      <c r="G184" s="28"/>
      <c r="H184" s="28"/>
      <c r="I184" s="31"/>
      <c r="J184" s="32"/>
      <c r="K184" s="23"/>
      <c r="L184" s="23"/>
      <c r="P184" s="23"/>
      <c r="Q184" s="23"/>
      <c r="R184" s="23"/>
      <c r="S184" s="23"/>
    </row>
    <row r="185" spans="1:19" ht="16.5" customHeight="1">
      <c r="A185" s="29"/>
      <c r="B185" s="30"/>
      <c r="C185" s="30"/>
      <c r="D185" s="30"/>
      <c r="E185" s="30"/>
      <c r="F185" s="30"/>
      <c r="G185" s="28"/>
      <c r="H185" s="28"/>
      <c r="I185" s="31"/>
      <c r="J185" s="32"/>
      <c r="K185" s="23"/>
      <c r="L185" s="23"/>
      <c r="P185" s="23"/>
      <c r="Q185" s="23"/>
      <c r="R185" s="23"/>
      <c r="S185" s="23"/>
    </row>
    <row r="186" spans="1:19" ht="16.5" customHeight="1">
      <c r="A186" s="22"/>
      <c r="B186" s="22"/>
      <c r="C186" s="22"/>
      <c r="D186" s="30"/>
      <c r="E186" s="30"/>
      <c r="F186" s="30"/>
      <c r="G186" s="28"/>
      <c r="H186" s="28"/>
      <c r="I186" s="22"/>
      <c r="J186" s="25"/>
      <c r="K186" s="23"/>
      <c r="L186" s="23"/>
      <c r="P186" s="23"/>
      <c r="Q186" s="23"/>
      <c r="R186" s="23"/>
      <c r="S186" s="23"/>
    </row>
    <row r="187" spans="1:19" ht="16.5" customHeight="1">
      <c r="A187" s="23"/>
      <c r="B187" s="23"/>
      <c r="C187" s="23"/>
      <c r="D187" s="30"/>
      <c r="E187" s="30"/>
      <c r="F187" s="30"/>
      <c r="G187" s="28"/>
      <c r="H187" s="28"/>
      <c r="I187" s="22"/>
      <c r="J187" s="23"/>
      <c r="K187" s="23"/>
      <c r="L187" s="23"/>
      <c r="P187" s="23"/>
      <c r="Q187" s="23"/>
      <c r="R187" s="23"/>
      <c r="S187" s="23"/>
    </row>
    <row r="188" spans="1:19" ht="16.5" customHeight="1">
      <c r="K188" s="23"/>
      <c r="L188" s="23"/>
      <c r="P188" s="23"/>
      <c r="Q188" s="23"/>
      <c r="R188" s="23"/>
      <c r="S188" s="23"/>
    </row>
    <row r="189" spans="1:19" ht="16.5" customHeight="1">
      <c r="K189" s="23"/>
      <c r="L189" s="23"/>
      <c r="P189" s="23"/>
      <c r="Q189" s="23"/>
      <c r="R189" s="23"/>
      <c r="S189" s="23"/>
    </row>
    <row r="190" spans="1:19" ht="16.5" customHeight="1">
      <c r="K190" s="23"/>
      <c r="L190" s="23"/>
      <c r="P190" s="23"/>
      <c r="Q190" s="23"/>
      <c r="R190" s="23"/>
      <c r="S190" s="23"/>
    </row>
    <row r="191" spans="1:19" ht="16.5" customHeight="1">
      <c r="A191" s="29"/>
      <c r="B191" s="30"/>
      <c r="C191" s="30"/>
      <c r="D191" s="30"/>
      <c r="E191" s="30"/>
      <c r="F191" s="30"/>
      <c r="G191" s="28"/>
      <c r="H191" s="28"/>
      <c r="I191" s="31"/>
      <c r="J191" s="32"/>
      <c r="K191" s="23"/>
      <c r="L191" s="23"/>
      <c r="P191" s="23"/>
      <c r="Q191" s="23"/>
      <c r="R191" s="23"/>
      <c r="S191" s="23"/>
    </row>
    <row r="192" spans="1:19" ht="16.5" customHeight="1">
      <c r="A192" s="29"/>
      <c r="B192" s="30"/>
      <c r="C192" s="30"/>
      <c r="D192" s="30"/>
      <c r="E192" s="30"/>
      <c r="F192" s="30"/>
      <c r="G192" s="28"/>
      <c r="H192" s="28"/>
      <c r="I192" s="31"/>
      <c r="J192" s="32"/>
      <c r="K192" s="23"/>
      <c r="L192" s="23"/>
      <c r="P192" s="23"/>
      <c r="Q192" s="23"/>
      <c r="R192" s="23"/>
      <c r="S192" s="23"/>
    </row>
    <row r="193" spans="1:19" ht="16.5" customHeight="1">
      <c r="A193" s="29"/>
      <c r="B193" s="30"/>
      <c r="C193" s="30"/>
      <c r="D193" s="30"/>
      <c r="E193" s="30"/>
      <c r="F193" s="30"/>
      <c r="G193" s="28"/>
      <c r="H193" s="28"/>
      <c r="I193" s="31"/>
      <c r="J193" s="32"/>
      <c r="K193" s="23"/>
      <c r="L193" s="23"/>
      <c r="P193" s="23"/>
      <c r="Q193" s="23"/>
      <c r="R193" s="23"/>
      <c r="S193" s="23"/>
    </row>
    <row r="194" spans="1:19" ht="16.5" customHeight="1">
      <c r="A194" s="29"/>
      <c r="B194" s="30"/>
      <c r="C194" s="30"/>
      <c r="D194" s="30"/>
      <c r="E194" s="30"/>
      <c r="F194" s="30"/>
      <c r="G194" s="28"/>
      <c r="H194" s="28"/>
      <c r="I194" s="31"/>
      <c r="J194" s="32"/>
      <c r="K194" s="23"/>
      <c r="L194" s="23"/>
      <c r="P194" s="23"/>
      <c r="Q194" s="23"/>
      <c r="R194" s="23"/>
      <c r="S194" s="23"/>
    </row>
    <row r="195" spans="1:19" ht="16.5" customHeight="1">
      <c r="A195" s="29"/>
      <c r="B195" s="30"/>
      <c r="C195" s="30"/>
      <c r="D195" s="30"/>
      <c r="E195" s="30"/>
      <c r="F195" s="30"/>
      <c r="G195" s="28"/>
      <c r="H195" s="28"/>
      <c r="I195" s="31"/>
      <c r="J195" s="32"/>
      <c r="K195" s="23"/>
      <c r="L195" s="23"/>
      <c r="P195" s="23"/>
      <c r="Q195" s="23"/>
      <c r="R195" s="23"/>
      <c r="S195" s="23"/>
    </row>
    <row r="196" spans="1:19" ht="16.5" customHeight="1">
      <c r="A196" s="29"/>
      <c r="B196" s="30"/>
      <c r="C196" s="30"/>
      <c r="D196" s="30"/>
      <c r="E196" s="30"/>
      <c r="F196" s="30"/>
      <c r="G196" s="28"/>
      <c r="H196" s="28"/>
      <c r="I196" s="31"/>
      <c r="J196" s="32"/>
      <c r="K196" s="23"/>
      <c r="L196" s="23"/>
      <c r="P196" s="23"/>
      <c r="Q196" s="23"/>
      <c r="R196" s="23"/>
      <c r="S196" s="23"/>
    </row>
    <row r="197" spans="1:19" ht="16.5" customHeight="1">
      <c r="A197" s="29"/>
      <c r="B197" s="30"/>
      <c r="C197" s="30"/>
      <c r="D197" s="30"/>
      <c r="E197" s="30"/>
      <c r="F197" s="30"/>
      <c r="G197" s="28"/>
      <c r="H197" s="28"/>
      <c r="I197" s="31"/>
      <c r="J197" s="32"/>
      <c r="K197" s="23"/>
      <c r="L197" s="23"/>
      <c r="P197" s="23"/>
      <c r="Q197" s="23"/>
      <c r="R197" s="23"/>
      <c r="S197" s="23"/>
    </row>
    <row r="198" spans="1:19" ht="16.5" customHeight="1">
      <c r="A198" s="29"/>
      <c r="B198" s="30"/>
      <c r="C198" s="30"/>
      <c r="D198" s="30"/>
      <c r="E198" s="30"/>
      <c r="F198" s="30"/>
      <c r="G198" s="28"/>
      <c r="H198" s="28"/>
      <c r="I198" s="31"/>
      <c r="J198" s="32"/>
      <c r="K198" s="23"/>
      <c r="L198" s="23"/>
      <c r="P198" s="23"/>
      <c r="Q198" s="23"/>
      <c r="R198" s="23"/>
      <c r="S198" s="23"/>
    </row>
    <row r="199" spans="1:19" ht="16.5" customHeight="1">
      <c r="A199" s="29"/>
      <c r="B199" s="30"/>
      <c r="C199" s="30"/>
      <c r="D199" s="30"/>
      <c r="E199" s="30"/>
      <c r="F199" s="30"/>
      <c r="G199" s="28"/>
      <c r="H199" s="28"/>
      <c r="I199" s="31"/>
      <c r="J199" s="32"/>
      <c r="K199" s="23"/>
      <c r="L199" s="23"/>
      <c r="P199" s="23"/>
      <c r="Q199" s="23"/>
      <c r="R199" s="23"/>
      <c r="S199" s="23"/>
    </row>
    <row r="200" spans="1:19" ht="16.5" customHeight="1">
      <c r="A200" s="22"/>
      <c r="B200" s="22"/>
      <c r="C200" s="22"/>
      <c r="D200" s="30"/>
      <c r="E200" s="30"/>
      <c r="F200" s="30"/>
      <c r="G200" s="28"/>
      <c r="H200" s="28"/>
      <c r="I200" s="22"/>
      <c r="J200" s="25"/>
      <c r="K200" s="23"/>
      <c r="L200" s="23"/>
      <c r="P200" s="23"/>
      <c r="Q200" s="23"/>
      <c r="R200" s="23"/>
      <c r="S200" s="23"/>
    </row>
    <row r="201" spans="1:19" ht="16.5" customHeight="1">
      <c r="A201" s="23"/>
      <c r="B201" s="23"/>
      <c r="C201" s="23"/>
      <c r="D201" s="30"/>
      <c r="E201" s="30"/>
      <c r="F201" s="30"/>
      <c r="G201" s="28"/>
      <c r="H201" s="286"/>
      <c r="I201" s="286"/>
      <c r="J201" s="23"/>
      <c r="K201" s="23"/>
      <c r="L201" s="23"/>
      <c r="P201" s="23"/>
      <c r="Q201" s="23"/>
      <c r="R201" s="23"/>
      <c r="S201" s="23"/>
    </row>
    <row r="202" spans="1:19" ht="16.5" customHeight="1">
      <c r="K202" s="23"/>
      <c r="L202" s="23"/>
      <c r="P202" s="23"/>
      <c r="Q202" s="23"/>
      <c r="R202" s="23"/>
      <c r="S202" s="23"/>
    </row>
    <row r="203" spans="1:19" ht="16.5" customHeight="1">
      <c r="A203" s="23"/>
      <c r="B203" s="23"/>
      <c r="C203" s="23"/>
      <c r="D203" s="30"/>
      <c r="E203" s="30"/>
      <c r="F203" s="30"/>
      <c r="G203" s="28"/>
      <c r="H203" s="28"/>
      <c r="I203" s="22"/>
      <c r="J203" s="23"/>
      <c r="K203" s="23"/>
      <c r="L203" s="23"/>
      <c r="P203" s="23"/>
      <c r="Q203" s="23"/>
      <c r="R203" s="23"/>
      <c r="S203" s="23"/>
    </row>
    <row r="204" spans="1:19" ht="16.5" customHeight="1">
      <c r="K204" s="23"/>
      <c r="L204" s="23"/>
      <c r="P204" s="23"/>
      <c r="Q204" s="23"/>
      <c r="R204" s="23"/>
      <c r="S204" s="23"/>
    </row>
    <row r="205" spans="1:19" ht="16.5" customHeight="1">
      <c r="K205" s="23"/>
      <c r="L205" s="23"/>
      <c r="P205" s="23"/>
      <c r="Q205" s="23"/>
      <c r="R205" s="23"/>
      <c r="S205" s="23"/>
    </row>
    <row r="206" spans="1:19" ht="16.5" customHeight="1">
      <c r="K206" s="23"/>
      <c r="L206" s="23"/>
      <c r="P206" s="23"/>
      <c r="Q206" s="23"/>
      <c r="R206" s="23"/>
      <c r="S206" s="23"/>
    </row>
    <row r="207" spans="1:19" ht="16.5" customHeight="1">
      <c r="A207" s="29"/>
      <c r="B207" s="30"/>
      <c r="C207" s="30"/>
      <c r="D207" s="30"/>
      <c r="E207" s="30"/>
      <c r="F207" s="30"/>
      <c r="G207" s="28"/>
      <c r="H207" s="28"/>
      <c r="I207" s="31"/>
      <c r="J207" s="32"/>
      <c r="K207" s="23"/>
      <c r="L207" s="23"/>
      <c r="P207" s="23"/>
      <c r="Q207" s="23"/>
      <c r="R207" s="23"/>
      <c r="S207" s="23"/>
    </row>
    <row r="208" spans="1:19" ht="16.5" customHeight="1">
      <c r="A208" s="29"/>
      <c r="B208" s="30"/>
      <c r="C208" s="30"/>
      <c r="D208" s="30"/>
      <c r="E208" s="30"/>
      <c r="F208" s="30"/>
      <c r="G208" s="28"/>
      <c r="H208" s="28"/>
      <c r="I208" s="31"/>
      <c r="J208" s="32"/>
      <c r="K208" s="23"/>
      <c r="L208" s="23"/>
      <c r="P208" s="23"/>
      <c r="Q208" s="23"/>
      <c r="R208" s="23"/>
      <c r="S208" s="23"/>
    </row>
    <row r="209" spans="1:19" ht="16.5" customHeight="1">
      <c r="A209" s="29"/>
      <c r="B209" s="30"/>
      <c r="C209" s="30"/>
      <c r="D209" s="30"/>
      <c r="E209" s="30"/>
      <c r="F209" s="30"/>
      <c r="G209" s="28"/>
      <c r="H209" s="28"/>
      <c r="I209" s="31"/>
      <c r="J209" s="32"/>
      <c r="K209" s="23"/>
      <c r="L209" s="23"/>
      <c r="P209" s="23"/>
      <c r="Q209" s="23"/>
      <c r="R209" s="23"/>
      <c r="S209" s="23"/>
    </row>
    <row r="210" spans="1:19" ht="16.5" customHeight="1">
      <c r="A210" s="29"/>
      <c r="B210" s="30"/>
      <c r="C210" s="30"/>
      <c r="D210" s="30"/>
      <c r="E210" s="30"/>
      <c r="F210" s="30"/>
      <c r="G210" s="28"/>
      <c r="H210" s="28"/>
      <c r="I210" s="31"/>
      <c r="J210" s="32"/>
      <c r="K210" s="23"/>
      <c r="L210" s="23"/>
      <c r="P210" s="23"/>
      <c r="Q210" s="23"/>
      <c r="R210" s="23"/>
      <c r="S210" s="23"/>
    </row>
    <row r="211" spans="1:19" ht="16.5" customHeight="1">
      <c r="A211" s="29"/>
      <c r="B211" s="30"/>
      <c r="C211" s="30"/>
      <c r="D211" s="30"/>
      <c r="E211" s="30"/>
      <c r="F211" s="30"/>
      <c r="G211" s="28"/>
      <c r="H211" s="28"/>
      <c r="I211" s="31"/>
      <c r="J211" s="32"/>
      <c r="K211" s="23"/>
      <c r="L211" s="23"/>
      <c r="P211" s="23"/>
      <c r="Q211" s="23"/>
      <c r="R211" s="23"/>
      <c r="S211" s="23"/>
    </row>
    <row r="212" spans="1:19" ht="16.5" customHeight="1">
      <c r="A212" s="29"/>
      <c r="B212" s="30"/>
      <c r="C212" s="30"/>
      <c r="D212" s="30"/>
      <c r="E212" s="30"/>
      <c r="F212" s="30"/>
      <c r="G212" s="28"/>
      <c r="H212" s="28"/>
      <c r="I212" s="31"/>
      <c r="J212" s="32"/>
      <c r="K212" s="23"/>
      <c r="L212" s="23"/>
      <c r="P212" s="23"/>
      <c r="Q212" s="23"/>
      <c r="R212" s="23"/>
      <c r="S212" s="23"/>
    </row>
    <row r="213" spans="1:19" ht="16.5" customHeight="1">
      <c r="A213" s="29"/>
      <c r="B213" s="30"/>
      <c r="C213" s="30"/>
      <c r="D213" s="30"/>
      <c r="E213" s="30"/>
      <c r="F213" s="30"/>
      <c r="G213" s="28"/>
      <c r="H213" s="28"/>
      <c r="I213" s="31"/>
      <c r="J213" s="32"/>
      <c r="K213" s="23"/>
      <c r="L213" s="23"/>
      <c r="P213" s="23"/>
      <c r="Q213" s="23"/>
      <c r="R213" s="23"/>
      <c r="S213" s="23"/>
    </row>
    <row r="214" spans="1:19" ht="16.5" customHeight="1">
      <c r="A214" s="29"/>
      <c r="B214" s="30"/>
      <c r="C214" s="30"/>
      <c r="D214" s="30"/>
      <c r="E214" s="30"/>
      <c r="F214" s="30"/>
      <c r="G214" s="28"/>
      <c r="H214" s="28"/>
      <c r="I214" s="31"/>
      <c r="J214" s="32"/>
      <c r="K214" s="23"/>
      <c r="L214" s="23"/>
      <c r="P214" s="23"/>
      <c r="Q214" s="23"/>
      <c r="R214" s="23"/>
      <c r="S214" s="23"/>
    </row>
    <row r="215" spans="1:19" ht="16.5" customHeight="1">
      <c r="A215" s="29"/>
      <c r="B215" s="30"/>
      <c r="C215" s="30"/>
      <c r="D215" s="30"/>
      <c r="E215" s="30"/>
      <c r="F215" s="30"/>
      <c r="G215" s="28"/>
      <c r="H215" s="28"/>
      <c r="I215" s="31"/>
      <c r="J215" s="32"/>
      <c r="K215" s="23"/>
      <c r="L215" s="23"/>
      <c r="P215" s="23"/>
      <c r="Q215" s="23"/>
      <c r="R215" s="23"/>
      <c r="S215" s="23"/>
    </row>
    <row r="216" spans="1:19" ht="16.5" customHeight="1">
      <c r="A216" s="22"/>
      <c r="B216" s="22"/>
      <c r="C216" s="22"/>
      <c r="D216" s="30"/>
      <c r="E216" s="30"/>
      <c r="F216" s="30"/>
      <c r="G216" s="28"/>
      <c r="H216" s="28"/>
      <c r="I216" s="22"/>
      <c r="J216" s="25"/>
      <c r="K216" s="23"/>
      <c r="L216" s="23"/>
      <c r="P216" s="23"/>
      <c r="Q216" s="23"/>
      <c r="R216" s="23"/>
      <c r="S216" s="23"/>
    </row>
    <row r="217" spans="1:19" ht="16.5" customHeight="1">
      <c r="A217" s="23"/>
      <c r="B217" s="23"/>
      <c r="C217" s="23"/>
      <c r="D217" s="30"/>
      <c r="E217" s="30"/>
      <c r="F217" s="30"/>
      <c r="G217" s="28"/>
      <c r="H217" s="286"/>
      <c r="I217" s="286"/>
      <c r="J217" s="23"/>
      <c r="K217" s="23"/>
      <c r="L217" s="23"/>
      <c r="P217" s="23"/>
      <c r="Q217" s="23"/>
      <c r="R217" s="23"/>
      <c r="S217" s="23"/>
    </row>
    <row r="218" spans="1:19" ht="16.5" customHeight="1">
      <c r="K218" s="23"/>
      <c r="L218" s="23"/>
      <c r="P218" s="23"/>
      <c r="Q218" s="23"/>
      <c r="R218" s="23"/>
      <c r="S218" s="23"/>
    </row>
    <row r="219" spans="1:19" ht="16.5" customHeight="1">
      <c r="K219" s="23"/>
      <c r="L219" s="23"/>
      <c r="P219" s="23"/>
      <c r="Q219" s="23"/>
      <c r="R219" s="23"/>
      <c r="S219" s="23"/>
    </row>
    <row r="220" spans="1:19" ht="16.5" customHeight="1">
      <c r="K220" s="23"/>
      <c r="L220" s="23"/>
      <c r="P220" s="23"/>
      <c r="Q220" s="23"/>
      <c r="R220" s="23"/>
      <c r="S220" s="23"/>
    </row>
    <row r="221" spans="1:19" ht="16.5" customHeight="1">
      <c r="K221" s="23"/>
      <c r="L221" s="23"/>
      <c r="P221" s="23"/>
      <c r="Q221" s="23"/>
      <c r="R221" s="23"/>
      <c r="S221" s="23"/>
    </row>
    <row r="222" spans="1:19" ht="16.5" customHeight="1">
      <c r="K222" s="23"/>
      <c r="L222" s="23"/>
      <c r="P222" s="23"/>
      <c r="Q222" s="23"/>
      <c r="R222" s="23"/>
      <c r="S222" s="23"/>
    </row>
    <row r="223" spans="1:19" ht="16.5" customHeight="1">
      <c r="K223" s="23"/>
      <c r="L223" s="23"/>
      <c r="P223" s="23"/>
      <c r="Q223" s="23"/>
      <c r="R223" s="23"/>
      <c r="S223" s="23"/>
    </row>
    <row r="224" spans="1:19" ht="16.5" customHeight="1">
      <c r="K224" s="23"/>
      <c r="L224" s="23"/>
      <c r="P224" s="23"/>
      <c r="Q224" s="23"/>
      <c r="R224" s="23"/>
      <c r="S224" s="23"/>
    </row>
    <row r="225" spans="1:19" ht="16.5" customHeight="1">
      <c r="K225" s="23"/>
      <c r="L225" s="23"/>
      <c r="P225" s="23"/>
      <c r="Q225" s="23"/>
      <c r="R225" s="23"/>
      <c r="S225" s="23"/>
    </row>
    <row r="226" spans="1:19" ht="16.5" customHeight="1">
      <c r="K226" s="23"/>
      <c r="L226" s="23"/>
      <c r="M226" s="23"/>
      <c r="N226" s="23"/>
      <c r="O226" s="23"/>
      <c r="P226" s="23"/>
      <c r="Q226" s="23"/>
      <c r="R226" s="23"/>
      <c r="S226" s="23"/>
    </row>
    <row r="227" spans="1:19" ht="16.5" customHeight="1">
      <c r="K227" s="23"/>
      <c r="L227" s="23"/>
      <c r="M227" s="23"/>
      <c r="N227" s="23"/>
      <c r="O227" s="23"/>
      <c r="P227" s="23"/>
      <c r="Q227" s="23"/>
      <c r="R227" s="23"/>
      <c r="S227" s="23"/>
    </row>
    <row r="228" spans="1:19" ht="16.5" customHeight="1">
      <c r="K228" s="23"/>
      <c r="L228" s="23"/>
      <c r="M228" s="23"/>
      <c r="N228" s="23"/>
      <c r="O228" s="23"/>
      <c r="P228" s="23"/>
      <c r="Q228" s="23"/>
      <c r="R228" s="23"/>
      <c r="S228" s="23"/>
    </row>
    <row r="229" spans="1:19" ht="16.5" customHeight="1">
      <c r="K229" s="23"/>
      <c r="L229" s="23"/>
      <c r="M229" s="23"/>
      <c r="N229" s="23"/>
      <c r="O229" s="23"/>
      <c r="P229" s="23"/>
      <c r="Q229" s="23"/>
      <c r="R229" s="23"/>
      <c r="S229" s="23"/>
    </row>
    <row r="230" spans="1:19" ht="16.5" customHeight="1">
      <c r="K230" s="23"/>
      <c r="L230" s="23"/>
      <c r="M230" s="23"/>
      <c r="N230" s="23"/>
      <c r="O230" s="23"/>
      <c r="P230" s="23"/>
      <c r="Q230" s="23"/>
      <c r="R230" s="23"/>
      <c r="S230" s="23"/>
    </row>
    <row r="231" spans="1:19" ht="16.5" customHeight="1">
      <c r="K231" s="23"/>
      <c r="L231" s="23"/>
      <c r="M231" s="23"/>
      <c r="N231" s="23"/>
      <c r="O231" s="23"/>
      <c r="P231" s="23"/>
      <c r="Q231" s="23"/>
      <c r="R231" s="23"/>
      <c r="S231" s="23"/>
    </row>
    <row r="232" spans="1:19" ht="16.5" customHeight="1">
      <c r="K232" s="23"/>
      <c r="L232" s="23"/>
      <c r="M232" s="23"/>
      <c r="N232" s="23"/>
      <c r="O232" s="23"/>
      <c r="P232" s="23"/>
      <c r="Q232" s="23"/>
      <c r="R232" s="23"/>
      <c r="S232" s="23"/>
    </row>
    <row r="233" spans="1:19" ht="16.5" customHeight="1">
      <c r="K233" s="23"/>
      <c r="L233" s="23"/>
      <c r="M233" s="23"/>
      <c r="N233" s="23"/>
      <c r="O233" s="23"/>
      <c r="P233" s="23"/>
      <c r="Q233" s="23"/>
      <c r="R233" s="23"/>
      <c r="S233" s="23"/>
    </row>
    <row r="234" spans="1:19" ht="16.5" customHeight="1">
      <c r="A234" s="23"/>
      <c r="B234" s="23"/>
      <c r="C234" s="23"/>
      <c r="D234" s="23"/>
      <c r="E234" s="23"/>
      <c r="F234" s="23"/>
      <c r="G234" s="23"/>
      <c r="H234" s="23"/>
      <c r="I234" s="23"/>
      <c r="J234" s="23"/>
      <c r="K234" s="23"/>
      <c r="L234" s="23"/>
      <c r="M234" s="23"/>
      <c r="N234" s="23"/>
      <c r="O234" s="23"/>
      <c r="P234" s="23"/>
      <c r="Q234" s="23"/>
      <c r="R234" s="23"/>
      <c r="S234" s="23"/>
    </row>
    <row r="235" spans="1:19" ht="16.5" customHeight="1">
      <c r="K235" s="23"/>
      <c r="L235" s="23"/>
      <c r="M235" s="23"/>
      <c r="N235" s="23"/>
      <c r="O235" s="23"/>
      <c r="P235" s="23"/>
      <c r="Q235" s="23"/>
      <c r="R235" s="23"/>
      <c r="S235" s="23"/>
    </row>
    <row r="236" spans="1:19" ht="16.5" customHeight="1">
      <c r="K236" s="23"/>
      <c r="L236" s="23"/>
      <c r="M236" s="23"/>
      <c r="N236" s="23"/>
      <c r="O236" s="23"/>
      <c r="P236" s="23"/>
      <c r="Q236" s="23"/>
      <c r="R236" s="23"/>
      <c r="S236" s="23"/>
    </row>
    <row r="237" spans="1:19" ht="16.5" customHeight="1">
      <c r="K237" s="23"/>
      <c r="L237" s="23"/>
      <c r="M237" s="23"/>
      <c r="N237" s="23"/>
      <c r="O237" s="23"/>
      <c r="P237" s="23"/>
      <c r="Q237" s="23"/>
      <c r="R237" s="23"/>
      <c r="S237" s="23"/>
    </row>
    <row r="238" spans="1:19" ht="16.5" customHeight="1">
      <c r="K238" s="23"/>
      <c r="L238" s="23"/>
      <c r="M238" s="23"/>
      <c r="N238" s="23"/>
      <c r="O238" s="23"/>
      <c r="P238" s="23"/>
      <c r="Q238" s="23"/>
      <c r="R238" s="23"/>
      <c r="S238" s="23"/>
    </row>
    <row r="239" spans="1:19" ht="16.5" customHeight="1">
      <c r="K239" s="23"/>
      <c r="L239" s="23"/>
      <c r="M239" s="23"/>
      <c r="N239" s="23"/>
      <c r="O239" s="23"/>
      <c r="P239" s="23"/>
      <c r="Q239" s="23"/>
      <c r="R239" s="23"/>
      <c r="S239" s="23"/>
    </row>
    <row r="240" spans="1:19" ht="16.5" customHeight="1">
      <c r="K240" s="23"/>
      <c r="L240" s="23"/>
      <c r="M240" s="23"/>
      <c r="N240" s="23"/>
      <c r="O240" s="23"/>
      <c r="P240" s="23"/>
    </row>
    <row r="241" spans="11:16" ht="16.5" customHeight="1">
      <c r="K241" s="23"/>
      <c r="L241" s="23"/>
      <c r="M241" s="23"/>
      <c r="N241" s="23"/>
      <c r="O241" s="23"/>
      <c r="P241" s="23"/>
    </row>
    <row r="242" spans="11:16" ht="16.5" customHeight="1">
      <c r="K242" s="23"/>
      <c r="L242" s="23"/>
      <c r="O242" s="23"/>
      <c r="P242" s="23"/>
    </row>
    <row r="243" spans="11:16" ht="16.5" customHeight="1">
      <c r="K243" s="23"/>
      <c r="L243" s="23"/>
      <c r="M243" s="23"/>
      <c r="N243" s="23"/>
      <c r="O243" s="23"/>
      <c r="P243" s="23"/>
    </row>
    <row r="244" spans="11:16" ht="16.5" customHeight="1">
      <c r="K244" s="23"/>
      <c r="L244" s="23"/>
    </row>
    <row r="245" spans="11:16" ht="16.5" customHeight="1">
      <c r="K245" s="23"/>
      <c r="L245" s="23"/>
    </row>
    <row r="246" spans="11:16" ht="16.5" customHeight="1">
      <c r="K246" s="23"/>
      <c r="L246" s="23"/>
    </row>
    <row r="247" spans="11:16" ht="16.5" customHeight="1">
      <c r="K247" s="23"/>
      <c r="L247" s="23"/>
    </row>
    <row r="248" spans="11:16" ht="16.5" customHeight="1">
      <c r="K248" s="23"/>
      <c r="L248" s="23"/>
    </row>
    <row r="249" spans="11:16" ht="16.5" customHeight="1">
      <c r="K249" s="23"/>
      <c r="L249" s="23"/>
    </row>
    <row r="250" spans="11:16" ht="16.5" customHeight="1">
      <c r="K250" s="23"/>
      <c r="L250" s="23"/>
    </row>
    <row r="251" spans="11:16" ht="16.5" customHeight="1">
      <c r="K251" s="23"/>
      <c r="L251" s="23"/>
    </row>
    <row r="252" spans="11:16" ht="16.5" customHeight="1">
      <c r="K252" s="23"/>
      <c r="L252" s="23"/>
    </row>
    <row r="253" spans="11:16" ht="16.5" customHeight="1">
      <c r="K253" s="23"/>
      <c r="L253" s="23"/>
    </row>
    <row r="254" spans="11:16" ht="16.5" customHeight="1">
      <c r="K254" s="23"/>
      <c r="L254" s="23"/>
    </row>
    <row r="255" spans="11:16" ht="16.5" customHeight="1">
      <c r="K255" s="23"/>
      <c r="L255" s="23"/>
    </row>
    <row r="256" spans="11:16" ht="16.5" customHeight="1">
      <c r="K256" s="23"/>
      <c r="L256" s="23"/>
    </row>
    <row r="257" spans="11:19" ht="16.5" customHeight="1">
      <c r="K257" s="23"/>
      <c r="L257" s="23"/>
    </row>
    <row r="258" spans="11:19" ht="16.5" customHeight="1">
      <c r="K258" s="23"/>
      <c r="L258" s="23"/>
    </row>
    <row r="259" spans="11:19" ht="16.5" customHeight="1">
      <c r="K259" s="23"/>
      <c r="L259" s="23"/>
    </row>
    <row r="260" spans="11:19" ht="16.5" customHeight="1">
      <c r="K260" s="23"/>
      <c r="L260" s="23"/>
    </row>
    <row r="261" spans="11:19" ht="16.5" customHeight="1">
      <c r="K261" s="23"/>
      <c r="L261" s="23"/>
    </row>
    <row r="262" spans="11:19" ht="16.5" customHeight="1">
      <c r="K262" s="23"/>
      <c r="L262" s="23"/>
    </row>
    <row r="263" spans="11:19" ht="16.5" customHeight="1">
      <c r="K263" s="23"/>
      <c r="L263" s="23"/>
    </row>
    <row r="264" spans="11:19" ht="16.5" customHeight="1">
      <c r="K264" s="23"/>
      <c r="L264" s="23"/>
    </row>
    <row r="265" spans="11:19" ht="16.5" customHeight="1">
      <c r="K265" s="23"/>
      <c r="L265" s="23"/>
    </row>
    <row r="266" spans="11:19" ht="16.5" customHeight="1">
      <c r="K266" s="23"/>
      <c r="L266" s="23"/>
    </row>
    <row r="267" spans="11:19" ht="16.5" customHeight="1">
      <c r="K267" s="23"/>
      <c r="L267" s="23"/>
      <c r="Q267" s="23"/>
      <c r="R267" s="23"/>
      <c r="S267" s="23"/>
    </row>
    <row r="268" spans="11:19" ht="16.5" customHeight="1">
      <c r="K268" s="23"/>
      <c r="L268" s="23"/>
      <c r="Q268" s="23"/>
      <c r="R268" s="23"/>
      <c r="S268" s="23"/>
    </row>
    <row r="269" spans="11:19" ht="16.5" customHeight="1">
      <c r="K269" s="23"/>
      <c r="L269" s="23"/>
      <c r="Q269" s="23"/>
      <c r="R269" s="23"/>
      <c r="S269" s="23"/>
    </row>
    <row r="270" spans="11:19" ht="16.5" customHeight="1">
      <c r="K270" s="23"/>
      <c r="L270" s="23"/>
      <c r="Q270" s="23"/>
      <c r="R270" s="23"/>
      <c r="S270" s="23"/>
    </row>
    <row r="271" spans="11:19" ht="16.5" customHeight="1">
      <c r="K271" s="23"/>
      <c r="L271" s="23"/>
      <c r="M271" s="23"/>
      <c r="N271" s="23"/>
      <c r="O271" s="23"/>
      <c r="P271" s="23"/>
      <c r="Q271" s="23"/>
      <c r="R271" s="23"/>
      <c r="S271" s="23"/>
    </row>
    <row r="272" spans="11:19" ht="16.5" customHeight="1">
      <c r="K272" s="23"/>
      <c r="L272" s="23"/>
      <c r="M272" s="23"/>
      <c r="N272" s="23"/>
      <c r="O272" s="23"/>
      <c r="P272" s="23"/>
      <c r="Q272" s="23"/>
      <c r="R272" s="23"/>
      <c r="S272" s="23"/>
    </row>
    <row r="273" spans="2:19" ht="16.5" customHeight="1">
      <c r="K273" s="23"/>
      <c r="L273" s="23"/>
      <c r="M273" s="23"/>
      <c r="N273" s="23"/>
      <c r="O273" s="23"/>
      <c r="P273" s="23"/>
      <c r="Q273" s="23"/>
      <c r="R273" s="23"/>
      <c r="S273" s="23"/>
    </row>
    <row r="274" spans="2:19" ht="16.5" customHeight="1">
      <c r="K274" s="23"/>
      <c r="L274" s="23"/>
      <c r="M274" s="23"/>
      <c r="N274" s="23"/>
      <c r="O274" s="23"/>
      <c r="P274" s="23"/>
      <c r="Q274" s="23"/>
      <c r="R274" s="23"/>
      <c r="S274" s="23"/>
    </row>
    <row r="275" spans="2:19" ht="16.5" customHeight="1">
      <c r="B275" s="33"/>
      <c r="C275" s="34"/>
      <c r="D275" s="34"/>
      <c r="E275" s="34"/>
      <c r="F275" s="35"/>
      <c r="G275" s="36"/>
      <c r="H275" s="37"/>
      <c r="I275" s="37"/>
      <c r="K275" s="23"/>
      <c r="L275" s="23"/>
      <c r="M275" s="23"/>
      <c r="N275" s="23"/>
      <c r="O275" s="23"/>
      <c r="P275" s="23"/>
      <c r="Q275" s="23"/>
      <c r="R275" s="23"/>
      <c r="S275" s="23"/>
    </row>
    <row r="276" spans="2:19" ht="16.5" customHeight="1">
      <c r="B276" s="33"/>
      <c r="C276" s="34"/>
      <c r="D276" s="34"/>
      <c r="E276" s="34"/>
      <c r="F276" s="35"/>
      <c r="G276" s="36"/>
      <c r="H276" s="37"/>
      <c r="I276" s="37"/>
      <c r="K276" s="23"/>
      <c r="L276" s="23"/>
      <c r="M276" s="23"/>
      <c r="N276" s="23"/>
      <c r="O276" s="23"/>
      <c r="P276" s="23"/>
      <c r="Q276" s="23"/>
      <c r="R276" s="23"/>
      <c r="S276" s="23"/>
    </row>
    <row r="277" spans="2:19" ht="16.5" customHeight="1">
      <c r="K277" s="23"/>
      <c r="L277" s="23"/>
      <c r="M277" s="23"/>
      <c r="N277" s="23"/>
      <c r="O277" s="23"/>
      <c r="P277" s="23"/>
      <c r="Q277" s="23"/>
      <c r="R277" s="23"/>
      <c r="S277" s="23"/>
    </row>
    <row r="278" spans="2:19" ht="16.5" customHeight="1">
      <c r="K278" s="23"/>
      <c r="L278" s="23"/>
      <c r="M278" s="23"/>
      <c r="N278" s="23"/>
      <c r="O278" s="23"/>
      <c r="P278" s="23"/>
      <c r="Q278" s="23"/>
      <c r="R278" s="23"/>
      <c r="S278" s="23"/>
    </row>
    <row r="279" spans="2:19" ht="16.5" customHeight="1">
      <c r="K279" s="23"/>
      <c r="L279" s="23"/>
      <c r="M279" s="23"/>
      <c r="N279" s="23"/>
      <c r="O279" s="23"/>
      <c r="P279" s="23"/>
      <c r="Q279" s="23"/>
      <c r="R279" s="23"/>
      <c r="S279" s="23"/>
    </row>
    <row r="280" spans="2:19" ht="16.5" customHeight="1">
      <c r="K280" s="23"/>
      <c r="L280" s="23"/>
      <c r="M280" s="23"/>
      <c r="N280" s="23"/>
      <c r="O280" s="23"/>
      <c r="P280" s="23"/>
      <c r="Q280" s="23"/>
      <c r="R280" s="23"/>
      <c r="S280" s="23"/>
    </row>
    <row r="281" spans="2:19" ht="16.5" customHeight="1">
      <c r="K281" s="23"/>
      <c r="L281" s="23"/>
      <c r="M281" s="23"/>
      <c r="N281" s="23"/>
      <c r="O281" s="23"/>
      <c r="P281" s="23"/>
      <c r="Q281" s="23"/>
      <c r="R281" s="23"/>
      <c r="S281" s="23"/>
    </row>
    <row r="282" spans="2:19" ht="16.5" customHeight="1">
      <c r="K282" s="23"/>
      <c r="L282" s="23"/>
      <c r="M282" s="23"/>
      <c r="N282" s="23"/>
      <c r="O282" s="23"/>
      <c r="P282" s="23"/>
      <c r="Q282" s="23"/>
      <c r="R282" s="23"/>
      <c r="S282" s="23"/>
    </row>
    <row r="283" spans="2:19" ht="16.5" customHeight="1">
      <c r="K283" s="23"/>
      <c r="L283" s="23"/>
      <c r="M283" s="23"/>
      <c r="N283" s="23"/>
      <c r="O283" s="23"/>
      <c r="P283" s="23"/>
      <c r="Q283" s="23"/>
      <c r="R283" s="23"/>
      <c r="S283" s="23"/>
    </row>
    <row r="284" spans="2:19" ht="16.5" customHeight="1">
      <c r="K284" s="23"/>
      <c r="L284" s="23"/>
      <c r="M284" s="23"/>
      <c r="N284" s="23"/>
      <c r="O284" s="23"/>
      <c r="P284" s="23"/>
      <c r="Q284" s="23"/>
      <c r="R284" s="23"/>
      <c r="S284" s="23"/>
    </row>
    <row r="285" spans="2:19" ht="16.5" customHeight="1">
      <c r="K285" s="23"/>
      <c r="L285" s="23"/>
      <c r="M285" s="23"/>
      <c r="N285" s="23"/>
      <c r="O285" s="23"/>
      <c r="P285" s="23"/>
      <c r="Q285" s="23"/>
      <c r="R285" s="23"/>
      <c r="S285" s="23"/>
    </row>
    <row r="286" spans="2:19" ht="16.5" customHeight="1">
      <c r="K286" s="23"/>
      <c r="L286" s="23"/>
      <c r="M286" s="23"/>
      <c r="N286" s="23"/>
      <c r="O286" s="23"/>
      <c r="P286" s="23"/>
      <c r="Q286" s="23"/>
      <c r="R286" s="23"/>
      <c r="S286" s="23"/>
    </row>
    <row r="287" spans="2:19" ht="16.5" customHeight="1">
      <c r="K287" s="23"/>
      <c r="L287" s="23"/>
      <c r="M287" s="23"/>
      <c r="N287" s="23"/>
      <c r="O287" s="23"/>
      <c r="P287" s="23"/>
      <c r="Q287" s="23"/>
      <c r="R287" s="23"/>
      <c r="S287" s="23"/>
    </row>
    <row r="288" spans="2:19" ht="16.5" customHeight="1">
      <c r="K288" s="23"/>
      <c r="L288" s="23"/>
      <c r="M288" s="23"/>
      <c r="N288" s="23"/>
      <c r="O288" s="23"/>
      <c r="P288" s="23"/>
      <c r="Q288" s="23"/>
      <c r="R288" s="23"/>
      <c r="S288" s="23"/>
    </row>
    <row r="289" spans="11:19" ht="16.5" customHeight="1">
      <c r="K289" s="23"/>
      <c r="L289" s="23"/>
      <c r="M289" s="23"/>
      <c r="N289" s="23"/>
      <c r="O289" s="23"/>
      <c r="P289" s="23"/>
      <c r="Q289" s="23"/>
      <c r="R289" s="23"/>
      <c r="S289" s="23"/>
    </row>
    <row r="290" spans="11:19" ht="16.5" customHeight="1">
      <c r="K290" s="23"/>
      <c r="L290" s="23"/>
      <c r="M290" s="23"/>
      <c r="N290" s="23"/>
      <c r="O290" s="23"/>
      <c r="P290" s="23"/>
      <c r="Q290" s="23"/>
      <c r="R290" s="23"/>
      <c r="S290" s="23"/>
    </row>
    <row r="291" spans="11:19" ht="16.5" customHeight="1">
      <c r="K291" s="23"/>
      <c r="L291" s="23"/>
      <c r="M291" s="23"/>
      <c r="N291" s="23"/>
      <c r="O291" s="23"/>
      <c r="P291" s="23"/>
    </row>
    <row r="292" spans="11:19" ht="16.5" customHeight="1">
      <c r="K292" s="23"/>
      <c r="L292" s="23"/>
      <c r="M292" s="23"/>
      <c r="N292" s="23"/>
      <c r="O292" s="23"/>
      <c r="P292" s="23"/>
    </row>
    <row r="293" spans="11:19" ht="16.5" customHeight="1">
      <c r="K293" s="23"/>
      <c r="L293" s="23"/>
      <c r="M293" s="23"/>
      <c r="N293" s="23"/>
      <c r="O293" s="23"/>
      <c r="P293" s="23"/>
    </row>
    <row r="294" spans="11:19" ht="16.5" customHeight="1">
      <c r="K294" s="23"/>
      <c r="L294" s="23"/>
      <c r="M294" s="23"/>
      <c r="N294" s="23"/>
      <c r="O294" s="23"/>
      <c r="P294" s="23"/>
    </row>
    <row r="295" spans="11:19" ht="16.5" customHeight="1">
      <c r="K295" s="23"/>
      <c r="L295" s="23"/>
    </row>
    <row r="296" spans="11:19" ht="16.5" customHeight="1">
      <c r="K296" s="23"/>
      <c r="L296" s="23"/>
    </row>
    <row r="297" spans="11:19" ht="16.5" customHeight="1">
      <c r="K297" s="23"/>
      <c r="L297" s="23"/>
    </row>
    <row r="298" spans="11:19" ht="16.5" customHeight="1">
      <c r="K298" s="23"/>
      <c r="L298" s="23"/>
    </row>
    <row r="299" spans="11:19" ht="16.5" customHeight="1">
      <c r="K299" s="23"/>
      <c r="L299" s="23"/>
    </row>
    <row r="300" spans="11:19" ht="16.5" customHeight="1">
      <c r="K300" s="23"/>
      <c r="L300" s="23"/>
    </row>
    <row r="301" spans="11:19" ht="16.5" customHeight="1">
      <c r="K301" s="23"/>
      <c r="L301" s="23"/>
      <c r="Q301" s="23"/>
      <c r="R301" s="23"/>
      <c r="S301" s="23"/>
    </row>
    <row r="302" spans="11:19" ht="16.5" customHeight="1">
      <c r="K302" s="23"/>
      <c r="L302" s="23"/>
      <c r="Q302" s="23"/>
      <c r="R302" s="23"/>
      <c r="S302" s="23"/>
    </row>
    <row r="303" spans="11:19" ht="16.5" customHeight="1">
      <c r="K303" s="23"/>
      <c r="L303" s="23"/>
    </row>
    <row r="304" spans="11:19" ht="16.5" customHeight="1">
      <c r="K304" s="23"/>
      <c r="L304" s="23"/>
    </row>
    <row r="305" spans="2:16" ht="16.5" customHeight="1">
      <c r="K305" s="23"/>
      <c r="L305" s="23"/>
      <c r="M305" s="23"/>
      <c r="N305" s="23"/>
      <c r="O305" s="23"/>
      <c r="P305" s="23"/>
    </row>
    <row r="306" spans="2:16" ht="16.5" customHeight="1">
      <c r="K306" s="23"/>
      <c r="L306" s="23"/>
      <c r="P306" s="23"/>
    </row>
    <row r="307" spans="2:16" ht="16.5" customHeight="1">
      <c r="K307" s="23"/>
      <c r="L307" s="23"/>
    </row>
    <row r="308" spans="2:16" ht="16.5" customHeight="1">
      <c r="K308" s="23"/>
      <c r="L308" s="23"/>
    </row>
    <row r="309" spans="2:16" ht="16.5" customHeight="1">
      <c r="K309" s="23"/>
      <c r="L309" s="23"/>
    </row>
    <row r="310" spans="2:16" ht="16.5" customHeight="1">
      <c r="K310" s="23"/>
      <c r="L310" s="23"/>
    </row>
    <row r="311" spans="2:16" ht="16.5" customHeight="1">
      <c r="K311" s="23"/>
      <c r="L311" s="23"/>
    </row>
    <row r="312" spans="2:16" ht="16.5" customHeight="1">
      <c r="K312" s="23"/>
      <c r="L312" s="23"/>
    </row>
    <row r="313" spans="2:16" ht="16.5" customHeight="1">
      <c r="B313" s="33"/>
      <c r="C313" s="34"/>
      <c r="D313" s="34"/>
      <c r="E313" s="34"/>
      <c r="F313" s="35"/>
      <c r="G313" s="36"/>
      <c r="H313" s="37"/>
      <c r="I313" s="37"/>
      <c r="K313" s="23"/>
      <c r="L313" s="23"/>
    </row>
    <row r="314" spans="2:16" ht="16.5" customHeight="1">
      <c r="B314" s="33"/>
      <c r="C314" s="34"/>
      <c r="D314" s="34"/>
      <c r="E314" s="34"/>
      <c r="F314" s="35"/>
      <c r="G314" s="36"/>
      <c r="H314" s="37"/>
      <c r="I314" s="37"/>
      <c r="K314" s="23"/>
      <c r="L314" s="23"/>
    </row>
    <row r="315" spans="2:16" ht="16.5" customHeight="1">
      <c r="K315" s="23"/>
      <c r="L315" s="23"/>
    </row>
    <row r="316" spans="2:16" ht="16.5" customHeight="1">
      <c r="K316" s="23"/>
      <c r="L316" s="23"/>
    </row>
    <row r="317" spans="2:16" ht="16.5" customHeight="1">
      <c r="K317" s="23"/>
      <c r="L317" s="23"/>
    </row>
    <row r="318" spans="2:16" ht="16.5" customHeight="1">
      <c r="K318" s="23"/>
      <c r="L318" s="23"/>
    </row>
    <row r="319" spans="2:16" ht="16.5" customHeight="1">
      <c r="K319" s="23"/>
      <c r="L319" s="23"/>
    </row>
    <row r="320" spans="2:16" ht="16.5" customHeight="1">
      <c r="K320" s="23"/>
      <c r="L320" s="23"/>
    </row>
    <row r="321" spans="1:12" ht="16.5" customHeight="1">
      <c r="K321" s="23"/>
      <c r="L321" s="23"/>
    </row>
    <row r="322" spans="1:12" ht="16.5" customHeight="1">
      <c r="K322" s="23"/>
      <c r="L322" s="23"/>
    </row>
    <row r="323" spans="1:12" ht="16.5" customHeight="1">
      <c r="A323" s="23"/>
      <c r="B323" s="23"/>
      <c r="C323" s="23"/>
      <c r="D323" s="23"/>
      <c r="E323" s="23"/>
      <c r="F323" s="23"/>
      <c r="G323" s="23"/>
      <c r="H323" s="23"/>
      <c r="I323" s="23"/>
      <c r="J323" s="23"/>
      <c r="K323" s="23"/>
      <c r="L323" s="23"/>
    </row>
    <row r="324" spans="1:12" ht="16.5" customHeight="1">
      <c r="A324" s="23"/>
      <c r="B324" s="23"/>
      <c r="C324" s="23"/>
      <c r="D324" s="23"/>
      <c r="E324" s="23"/>
      <c r="F324" s="23"/>
      <c r="G324" s="23"/>
      <c r="H324" s="23"/>
      <c r="I324" s="23"/>
      <c r="J324" s="23"/>
      <c r="K324" s="23"/>
      <c r="L324" s="23"/>
    </row>
    <row r="325" spans="1:12" ht="16.5" customHeight="1">
      <c r="K325" s="23"/>
      <c r="L325" s="23"/>
    </row>
    <row r="326" spans="1:12" ht="16.5" customHeight="1">
      <c r="K326" s="23"/>
      <c r="L326" s="23"/>
    </row>
    <row r="327" spans="1:12" ht="16.5" customHeight="1">
      <c r="K327" s="23"/>
      <c r="L327" s="23"/>
    </row>
    <row r="328" spans="1:12" ht="16.5" customHeight="1">
      <c r="K328" s="23"/>
      <c r="L328" s="23"/>
    </row>
    <row r="329" spans="1:12" ht="16.5" customHeight="1">
      <c r="K329" s="23"/>
      <c r="L329" s="23"/>
    </row>
    <row r="330" spans="1:12" ht="16.5" customHeight="1">
      <c r="K330" s="23"/>
      <c r="L330" s="23"/>
    </row>
    <row r="331" spans="1:12" ht="16.5" customHeight="1">
      <c r="K331" s="23"/>
      <c r="L331" s="23"/>
    </row>
    <row r="373" spans="2:9" ht="16.5" customHeight="1">
      <c r="B373" s="33"/>
      <c r="C373" s="34"/>
      <c r="D373" s="34"/>
      <c r="E373" s="34"/>
      <c r="F373" s="35"/>
      <c r="G373" s="36"/>
      <c r="H373" s="37"/>
      <c r="I373" s="37"/>
    </row>
    <row r="374" spans="2:9" ht="16.5" customHeight="1">
      <c r="B374" s="33"/>
      <c r="C374" s="34"/>
      <c r="D374" s="34"/>
      <c r="E374" s="34"/>
      <c r="F374" s="35"/>
      <c r="G374" s="36"/>
      <c r="H374" s="37"/>
      <c r="I374" s="37"/>
    </row>
    <row r="393" spans="2:9" ht="16.5" customHeight="1">
      <c r="B393" s="33"/>
      <c r="C393" s="34"/>
      <c r="D393" s="34"/>
      <c r="E393" s="34"/>
      <c r="F393" s="35"/>
      <c r="G393" s="36"/>
      <c r="H393" s="37"/>
      <c r="I393" s="37"/>
    </row>
    <row r="394" spans="2:9" ht="16.5" customHeight="1">
      <c r="B394" s="33"/>
      <c r="C394" s="34"/>
      <c r="D394" s="34"/>
      <c r="E394" s="34"/>
      <c r="F394" s="35"/>
      <c r="G394" s="36"/>
      <c r="H394" s="37"/>
      <c r="I394" s="37"/>
    </row>
    <row r="399" spans="2:9" ht="16.5" customHeight="1">
      <c r="B399" s="33"/>
      <c r="C399" s="34"/>
      <c r="D399" s="34"/>
      <c r="E399" s="34"/>
      <c r="F399" s="35"/>
      <c r="G399" s="36"/>
      <c r="H399" s="37"/>
      <c r="I399" s="37"/>
    </row>
    <row r="400" spans="2:9" ht="16.5" customHeight="1">
      <c r="B400" s="33"/>
      <c r="C400" s="34"/>
      <c r="D400" s="34"/>
      <c r="E400" s="34"/>
      <c r="F400" s="35"/>
      <c r="G400" s="36"/>
      <c r="H400" s="37"/>
      <c r="I400" s="37"/>
    </row>
    <row r="401" spans="2:9" ht="16.5" customHeight="1">
      <c r="B401" s="33"/>
      <c r="C401" s="34"/>
      <c r="D401" s="34"/>
      <c r="E401" s="34"/>
      <c r="F401" s="35"/>
      <c r="G401" s="36"/>
      <c r="H401" s="37"/>
      <c r="I401" s="37"/>
    </row>
    <row r="402" spans="2:9" ht="16.5" customHeight="1">
      <c r="B402" s="33"/>
      <c r="C402" s="34"/>
      <c r="D402" s="34"/>
      <c r="E402" s="34"/>
      <c r="F402" s="35"/>
      <c r="G402" s="36"/>
      <c r="H402" s="37"/>
      <c r="I402" s="37"/>
    </row>
    <row r="403" spans="2:9" ht="16.5" customHeight="1">
      <c r="B403" s="33"/>
      <c r="C403" s="34"/>
      <c r="D403" s="34"/>
      <c r="E403" s="34"/>
      <c r="F403" s="35"/>
      <c r="G403" s="36"/>
      <c r="H403" s="37"/>
      <c r="I403" s="37"/>
    </row>
    <row r="405" spans="2:9" ht="16.5" customHeight="1">
      <c r="B405" s="33"/>
      <c r="C405" s="34"/>
      <c r="D405" s="34"/>
      <c r="E405" s="34"/>
    </row>
    <row r="406" spans="2:9" ht="16.5" customHeight="1">
      <c r="B406" s="33"/>
      <c r="C406" s="34"/>
      <c r="D406" s="34"/>
      <c r="E406" s="34"/>
    </row>
    <row r="407" spans="2:9" ht="16.5" customHeight="1">
      <c r="B407" s="33"/>
      <c r="C407" s="34"/>
      <c r="D407" s="34"/>
      <c r="E407" s="34"/>
    </row>
    <row r="408" spans="2:9" ht="16.5" customHeight="1">
      <c r="B408" s="33"/>
      <c r="C408" s="34"/>
      <c r="D408" s="34"/>
      <c r="E408" s="34"/>
    </row>
    <row r="409" spans="2:9" ht="16.5" customHeight="1">
      <c r="B409" s="33"/>
      <c r="C409" s="34"/>
      <c r="D409" s="34"/>
      <c r="E409" s="34"/>
    </row>
    <row r="410" spans="2:9" ht="16.5" customHeight="1">
      <c r="B410" s="33"/>
      <c r="C410" s="34"/>
      <c r="D410" s="34"/>
      <c r="E410" s="34"/>
    </row>
    <row r="411" spans="2:9" ht="16.5" customHeight="1">
      <c r="B411" s="33"/>
      <c r="C411" s="34"/>
      <c r="D411" s="34"/>
      <c r="E411" s="34"/>
    </row>
    <row r="412" spans="2:9" ht="16.5" customHeight="1">
      <c r="B412" s="33"/>
      <c r="C412" s="34"/>
      <c r="D412" s="34"/>
      <c r="E412" s="34"/>
    </row>
    <row r="413" spans="2:9" ht="16.5" customHeight="1">
      <c r="B413" s="33"/>
      <c r="C413" s="34"/>
      <c r="D413" s="34"/>
      <c r="E413" s="34"/>
    </row>
    <row r="414" spans="2:9" ht="16.5" customHeight="1">
      <c r="B414" s="33"/>
      <c r="C414" s="34"/>
      <c r="D414" s="34"/>
      <c r="E414" s="34"/>
    </row>
    <row r="415" spans="2:9" ht="16.5" customHeight="1">
      <c r="B415" s="33"/>
      <c r="C415" s="34"/>
      <c r="D415" s="34"/>
      <c r="E415" s="34"/>
    </row>
    <row r="416" spans="2:9" ht="16.5" customHeight="1">
      <c r="B416" s="33"/>
      <c r="C416" s="34"/>
      <c r="D416" s="34"/>
      <c r="E416" s="34"/>
    </row>
    <row r="417" spans="2:10" ht="16.5" customHeight="1">
      <c r="B417" s="33"/>
      <c r="C417" s="34"/>
      <c r="D417" s="34"/>
      <c r="E417" s="34"/>
    </row>
    <row r="418" spans="2:10" ht="16.5" customHeight="1">
      <c r="B418" s="33"/>
      <c r="C418" s="34"/>
      <c r="D418" s="34"/>
      <c r="E418" s="34"/>
    </row>
    <row r="420" spans="2:10" ht="16.5" customHeight="1">
      <c r="C420" s="285"/>
      <c r="D420" s="285"/>
      <c r="E420" s="285"/>
      <c r="F420" s="285"/>
      <c r="G420" s="285"/>
      <c r="H420" s="285"/>
      <c r="I420" s="285"/>
      <c r="J420" s="285"/>
    </row>
  </sheetData>
  <mergeCells count="379">
    <mergeCell ref="D39:E39"/>
    <mergeCell ref="A52:J52"/>
    <mergeCell ref="B21:C21"/>
    <mergeCell ref="D21:E21"/>
    <mergeCell ref="B22:C22"/>
    <mergeCell ref="D22:E22"/>
    <mergeCell ref="B25:C25"/>
    <mergeCell ref="B65:C65"/>
    <mergeCell ref="D65:E65"/>
    <mergeCell ref="B55:E55"/>
    <mergeCell ref="B56:C56"/>
    <mergeCell ref="B54:E54"/>
    <mergeCell ref="B23:C23"/>
    <mergeCell ref="D23:E23"/>
    <mergeCell ref="B24:C24"/>
    <mergeCell ref="D24:E24"/>
    <mergeCell ref="B29:C29"/>
    <mergeCell ref="D29:E29"/>
    <mergeCell ref="B30:C30"/>
    <mergeCell ref="D30:E30"/>
    <mergeCell ref="B31:C31"/>
    <mergeCell ref="D31:E31"/>
    <mergeCell ref="B32:C32"/>
    <mergeCell ref="D32:E32"/>
    <mergeCell ref="B39:C39"/>
    <mergeCell ref="D84:E84"/>
    <mergeCell ref="B66:C66"/>
    <mergeCell ref="D66:E66"/>
    <mergeCell ref="D26:E26"/>
    <mergeCell ref="B27:C27"/>
    <mergeCell ref="D27:E27"/>
    <mergeCell ref="B28:C28"/>
    <mergeCell ref="D28:E28"/>
    <mergeCell ref="B42:C42"/>
    <mergeCell ref="D42:E42"/>
    <mergeCell ref="B43:C43"/>
    <mergeCell ref="D61:E61"/>
    <mergeCell ref="B62:C62"/>
    <mergeCell ref="B26:C26"/>
    <mergeCell ref="D34:E34"/>
    <mergeCell ref="B35:C35"/>
    <mergeCell ref="B33:C33"/>
    <mergeCell ref="D33:E33"/>
    <mergeCell ref="D56:E56"/>
    <mergeCell ref="B57:C57"/>
    <mergeCell ref="D57:E57"/>
    <mergeCell ref="B58:C58"/>
    <mergeCell ref="D58:E58"/>
    <mergeCell ref="Q83:R83"/>
    <mergeCell ref="S83:T83"/>
    <mergeCell ref="S72:T72"/>
    <mergeCell ref="S71:T71"/>
    <mergeCell ref="S73:T73"/>
    <mergeCell ref="Q74:R74"/>
    <mergeCell ref="Q72:R72"/>
    <mergeCell ref="Q80:R80"/>
    <mergeCell ref="S78:T78"/>
    <mergeCell ref="Q79:R79"/>
    <mergeCell ref="S79:T79"/>
    <mergeCell ref="B59:C59"/>
    <mergeCell ref="D59:E59"/>
    <mergeCell ref="B60:C60"/>
    <mergeCell ref="Q75:R75"/>
    <mergeCell ref="S75:T75"/>
    <mergeCell ref="Q76:R76"/>
    <mergeCell ref="S76:T76"/>
    <mergeCell ref="Q77:R77"/>
    <mergeCell ref="S77:T77"/>
    <mergeCell ref="S63:T63"/>
    <mergeCell ref="S65:T65"/>
    <mergeCell ref="Q66:R66"/>
    <mergeCell ref="B67:C67"/>
    <mergeCell ref="D67:E67"/>
    <mergeCell ref="Q61:R61"/>
    <mergeCell ref="S59:T59"/>
    <mergeCell ref="Q59:R59"/>
    <mergeCell ref="D64:E64"/>
    <mergeCell ref="D62:E62"/>
    <mergeCell ref="Q63:R63"/>
    <mergeCell ref="Q85:R85"/>
    <mergeCell ref="S85:T85"/>
    <mergeCell ref="S82:T82"/>
    <mergeCell ref="Q68:R68"/>
    <mergeCell ref="S68:T68"/>
    <mergeCell ref="Q69:R69"/>
    <mergeCell ref="S69:T69"/>
    <mergeCell ref="Q70:R70"/>
    <mergeCell ref="Q64:R64"/>
    <mergeCell ref="Q65:R65"/>
    <mergeCell ref="Q84:R84"/>
    <mergeCell ref="S84:T84"/>
    <mergeCell ref="S64:T64"/>
    <mergeCell ref="S67:T67"/>
    <mergeCell ref="S70:T70"/>
    <mergeCell ref="Q73:R73"/>
    <mergeCell ref="Q71:R71"/>
    <mergeCell ref="Q67:R67"/>
    <mergeCell ref="Q81:R81"/>
    <mergeCell ref="S81:T81"/>
    <mergeCell ref="S74:T74"/>
    <mergeCell ref="Q78:R78"/>
    <mergeCell ref="S80:T80"/>
    <mergeCell ref="Q82:R82"/>
    <mergeCell ref="X29:AA29"/>
    <mergeCell ref="X27:Z27"/>
    <mergeCell ref="Q58:R58"/>
    <mergeCell ref="S55:T55"/>
    <mergeCell ref="S54:T54"/>
    <mergeCell ref="S43:T43"/>
    <mergeCell ref="Y55:AB55"/>
    <mergeCell ref="Y51:AB51"/>
    <mergeCell ref="X33:Z33"/>
    <mergeCell ref="Y54:AB54"/>
    <mergeCell ref="Y52:AB52"/>
    <mergeCell ref="Q28:R28"/>
    <mergeCell ref="Q31:R31"/>
    <mergeCell ref="S31:T31"/>
    <mergeCell ref="Q27:R27"/>
    <mergeCell ref="Q30:R30"/>
    <mergeCell ref="Q33:R33"/>
    <mergeCell ref="Y56:AB56"/>
    <mergeCell ref="Y57:AB57"/>
    <mergeCell ref="S42:T42"/>
    <mergeCell ref="Q44:R44"/>
    <mergeCell ref="S41:T41"/>
    <mergeCell ref="Q42:R42"/>
    <mergeCell ref="Y53:AB53"/>
    <mergeCell ref="S23:T23"/>
    <mergeCell ref="Q41:R41"/>
    <mergeCell ref="Q25:R25"/>
    <mergeCell ref="Q53:R53"/>
    <mergeCell ref="Q54:R54"/>
    <mergeCell ref="S34:T34"/>
    <mergeCell ref="S33:T33"/>
    <mergeCell ref="S37:T37"/>
    <mergeCell ref="Q38:R38"/>
    <mergeCell ref="Q36:R36"/>
    <mergeCell ref="Q35:R35"/>
    <mergeCell ref="Q37:R37"/>
    <mergeCell ref="S39:T39"/>
    <mergeCell ref="Q32:R32"/>
    <mergeCell ref="Q45:R45"/>
    <mergeCell ref="S51:T51"/>
    <mergeCell ref="S45:T45"/>
    <mergeCell ref="Q51:R51"/>
    <mergeCell ref="S32:T32"/>
    <mergeCell ref="S40:T40"/>
    <mergeCell ref="S30:T30"/>
    <mergeCell ref="S53:T53"/>
    <mergeCell ref="S52:T52"/>
    <mergeCell ref="Q52:R52"/>
    <mergeCell ref="H8:J8"/>
    <mergeCell ref="Q43:R43"/>
    <mergeCell ref="Z16:AA16"/>
    <mergeCell ref="Q18:R18"/>
    <mergeCell ref="Q13:R13"/>
    <mergeCell ref="S18:T18"/>
    <mergeCell ref="Q17:R17"/>
    <mergeCell ref="Q22:R22"/>
    <mergeCell ref="S22:T22"/>
    <mergeCell ref="Z18:AA18"/>
    <mergeCell ref="S20:T20"/>
    <mergeCell ref="X20:Y20"/>
    <mergeCell ref="S19:T19"/>
    <mergeCell ref="X17:Y17"/>
    <mergeCell ref="Q19:R19"/>
    <mergeCell ref="Q26:R26"/>
    <mergeCell ref="Q23:R23"/>
    <mergeCell ref="S26:T26"/>
    <mergeCell ref="S28:T28"/>
    <mergeCell ref="S29:T29"/>
    <mergeCell ref="S27:T27"/>
    <mergeCell ref="Q29:R29"/>
    <mergeCell ref="X31:AA31"/>
    <mergeCell ref="S24:T24"/>
    <mergeCell ref="Z17:AA17"/>
    <mergeCell ref="X12:Y12"/>
    <mergeCell ref="Z12:AA12"/>
    <mergeCell ref="X13:Y13"/>
    <mergeCell ref="Z13:AA13"/>
    <mergeCell ref="Q15:R15"/>
    <mergeCell ref="Q16:R16"/>
    <mergeCell ref="S15:T15"/>
    <mergeCell ref="S17:T17"/>
    <mergeCell ref="X16:Y16"/>
    <mergeCell ref="Z14:AA14"/>
    <mergeCell ref="S14:T14"/>
    <mergeCell ref="X14:Y14"/>
    <mergeCell ref="Q14:R14"/>
    <mergeCell ref="H3:J3"/>
    <mergeCell ref="A4:E4"/>
    <mergeCell ref="K11:M11"/>
    <mergeCell ref="Q12:R12"/>
    <mergeCell ref="A1:J1"/>
    <mergeCell ref="Z21:AA21"/>
    <mergeCell ref="X23:Z23"/>
    <mergeCell ref="Z20:AA20"/>
    <mergeCell ref="Z19:AA19"/>
    <mergeCell ref="X21:Y21"/>
    <mergeCell ref="Q21:R21"/>
    <mergeCell ref="X19:Y19"/>
    <mergeCell ref="Q20:R20"/>
    <mergeCell ref="S21:T21"/>
    <mergeCell ref="H4:I4"/>
    <mergeCell ref="H2:I2"/>
    <mergeCell ref="A3:E3"/>
    <mergeCell ref="B15:E15"/>
    <mergeCell ref="I13:I16"/>
    <mergeCell ref="H13:H16"/>
    <mergeCell ref="J13:J16"/>
    <mergeCell ref="B14:E14"/>
    <mergeCell ref="B16:E16"/>
    <mergeCell ref="B18:E18"/>
    <mergeCell ref="S25:T25"/>
    <mergeCell ref="Q24:R24"/>
    <mergeCell ref="X25:Z25"/>
    <mergeCell ref="X18:Y18"/>
    <mergeCell ref="A5:E5"/>
    <mergeCell ref="A6:E6"/>
    <mergeCell ref="H7:J7"/>
    <mergeCell ref="Z15:AA15"/>
    <mergeCell ref="B11:E11"/>
    <mergeCell ref="B12:E12"/>
    <mergeCell ref="G11:J11"/>
    <mergeCell ref="B13:E13"/>
    <mergeCell ref="A8:D8"/>
    <mergeCell ref="H9:J9"/>
    <mergeCell ref="G10:J10"/>
    <mergeCell ref="H6:I6"/>
    <mergeCell ref="H5:J5"/>
    <mergeCell ref="S12:T12"/>
    <mergeCell ref="S13:T13"/>
    <mergeCell ref="X15:Y15"/>
    <mergeCell ref="S16:T16"/>
    <mergeCell ref="X11:Z11"/>
    <mergeCell ref="B20:E20"/>
    <mergeCell ref="I19:J19"/>
    <mergeCell ref="F18:G18"/>
    <mergeCell ref="H18:I18"/>
    <mergeCell ref="C420:J420"/>
    <mergeCell ref="H217:I217"/>
    <mergeCell ref="H201:I201"/>
    <mergeCell ref="A47:J47"/>
    <mergeCell ref="A48:J48"/>
    <mergeCell ref="A49:J49"/>
    <mergeCell ref="A50:J50"/>
    <mergeCell ref="B44:C44"/>
    <mergeCell ref="F44:G44"/>
    <mergeCell ref="B98:C98"/>
    <mergeCell ref="D98:E98"/>
    <mergeCell ref="B70:C70"/>
    <mergeCell ref="D70:E70"/>
    <mergeCell ref="B71:C71"/>
    <mergeCell ref="D71:E71"/>
    <mergeCell ref="B72:C72"/>
    <mergeCell ref="D72:E72"/>
    <mergeCell ref="B73:C73"/>
    <mergeCell ref="D73:E73"/>
    <mergeCell ref="B94:C94"/>
    <mergeCell ref="B34:C34"/>
    <mergeCell ref="D41:E41"/>
    <mergeCell ref="Y82:AB82"/>
    <mergeCell ref="Y75:AB75"/>
    <mergeCell ref="Y78:AB78"/>
    <mergeCell ref="Y80:AB80"/>
    <mergeCell ref="Y81:AB81"/>
    <mergeCell ref="Y79:AB79"/>
    <mergeCell ref="Y76:AB76"/>
    <mergeCell ref="Y77:AB77"/>
    <mergeCell ref="Y74:AB74"/>
    <mergeCell ref="S57:T57"/>
    <mergeCell ref="Y63:AB63"/>
    <mergeCell ref="Y61:AB61"/>
    <mergeCell ref="Q60:R60"/>
    <mergeCell ref="S60:T60"/>
    <mergeCell ref="Y73:AB73"/>
    <mergeCell ref="Y68:AB68"/>
    <mergeCell ref="Y65:AB65"/>
    <mergeCell ref="Y66:AB66"/>
    <mergeCell ref="Y67:AB67"/>
    <mergeCell ref="Y69:AB69"/>
    <mergeCell ref="Y70:AB70"/>
    <mergeCell ref="Y72:AB72"/>
    <mergeCell ref="Y71:AB71"/>
    <mergeCell ref="Y64:AB64"/>
    <mergeCell ref="Y62:AB62"/>
    <mergeCell ref="Y60:AB60"/>
    <mergeCell ref="S66:T66"/>
    <mergeCell ref="S61:T61"/>
    <mergeCell ref="S58:T58"/>
    <mergeCell ref="Q62:R62"/>
    <mergeCell ref="S62:T62"/>
    <mergeCell ref="Y59:AB59"/>
    <mergeCell ref="Y58:AB58"/>
    <mergeCell ref="Q50:R50"/>
    <mergeCell ref="K53:M53"/>
    <mergeCell ref="S50:T50"/>
    <mergeCell ref="S35:T35"/>
    <mergeCell ref="S36:T36"/>
    <mergeCell ref="Q34:R34"/>
    <mergeCell ref="Q40:R40"/>
    <mergeCell ref="S38:T38"/>
    <mergeCell ref="S56:T56"/>
    <mergeCell ref="Q55:R55"/>
    <mergeCell ref="S44:T44"/>
    <mergeCell ref="Q39:R39"/>
    <mergeCell ref="Q56:R56"/>
    <mergeCell ref="Q57:R57"/>
    <mergeCell ref="B40:C40"/>
    <mergeCell ref="D40:E40"/>
    <mergeCell ref="B41:C41"/>
    <mergeCell ref="D25:E25"/>
    <mergeCell ref="D94:E94"/>
    <mergeCell ref="B75:C75"/>
    <mergeCell ref="D75:E75"/>
    <mergeCell ref="B74:C74"/>
    <mergeCell ref="D74:E74"/>
    <mergeCell ref="D87:E87"/>
    <mergeCell ref="B88:C88"/>
    <mergeCell ref="D88:E88"/>
    <mergeCell ref="D86:E86"/>
    <mergeCell ref="B85:C85"/>
    <mergeCell ref="D85:E85"/>
    <mergeCell ref="B80:C80"/>
    <mergeCell ref="D80:E80"/>
    <mergeCell ref="B81:C81"/>
    <mergeCell ref="D81:E81"/>
    <mergeCell ref="B82:C82"/>
    <mergeCell ref="D82:E82"/>
    <mergeCell ref="B83:C83"/>
    <mergeCell ref="D83:E83"/>
    <mergeCell ref="B84:C84"/>
    <mergeCell ref="D95:E95"/>
    <mergeCell ref="B96:C96"/>
    <mergeCell ref="D96:E96"/>
    <mergeCell ref="B97:C97"/>
    <mergeCell ref="D97:E97"/>
    <mergeCell ref="B79:C79"/>
    <mergeCell ref="B76:C76"/>
    <mergeCell ref="D76:E76"/>
    <mergeCell ref="B78:C78"/>
    <mergeCell ref="D78:E78"/>
    <mergeCell ref="D79:E79"/>
    <mergeCell ref="B86:C86"/>
    <mergeCell ref="B95:C95"/>
    <mergeCell ref="B89:C89"/>
    <mergeCell ref="D89:E89"/>
    <mergeCell ref="B93:C93"/>
    <mergeCell ref="D93:E93"/>
    <mergeCell ref="B90:C90"/>
    <mergeCell ref="D90:E90"/>
    <mergeCell ref="B91:C91"/>
    <mergeCell ref="D91:E91"/>
    <mergeCell ref="B92:C92"/>
    <mergeCell ref="D92:E92"/>
    <mergeCell ref="B87:C87"/>
    <mergeCell ref="K12:L12"/>
    <mergeCell ref="M12:N12"/>
    <mergeCell ref="B77:C77"/>
    <mergeCell ref="D35:E35"/>
    <mergeCell ref="B36:C36"/>
    <mergeCell ref="D36:E36"/>
    <mergeCell ref="B37:C37"/>
    <mergeCell ref="D37:E37"/>
    <mergeCell ref="B38:C38"/>
    <mergeCell ref="D38:E38"/>
    <mergeCell ref="A45:J45"/>
    <mergeCell ref="A46:J46"/>
    <mergeCell ref="D77:E77"/>
    <mergeCell ref="B68:C68"/>
    <mergeCell ref="D68:E68"/>
    <mergeCell ref="B69:C69"/>
    <mergeCell ref="D69:E69"/>
    <mergeCell ref="D43:E43"/>
    <mergeCell ref="D60:E60"/>
    <mergeCell ref="B61:C61"/>
    <mergeCell ref="B63:C63"/>
    <mergeCell ref="D63:E63"/>
    <mergeCell ref="B64:C64"/>
  </mergeCells>
  <phoneticPr fontId="1"/>
  <pageMargins left="0.51181102362204722" right="0.51181102362204722" top="1.1417322834645669" bottom="0.35433070866141736"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D079B-0085-4FD6-A4BD-6E76991D0676}">
  <dimension ref="A1:AF50"/>
  <sheetViews>
    <sheetView workbookViewId="0">
      <selection activeCell="L42" sqref="A1:L42"/>
    </sheetView>
  </sheetViews>
  <sheetFormatPr defaultColWidth="4.625" defaultRowHeight="13.5"/>
  <cols>
    <col min="1" max="1" width="10.375" customWidth="1"/>
    <col min="2" max="2" width="20.75" customWidth="1"/>
    <col min="3" max="3" width="4.25" customWidth="1"/>
    <col min="4" max="4" width="4.375" customWidth="1"/>
    <col min="5" max="5" width="3.375" customWidth="1"/>
    <col min="6" max="6" width="2.25" customWidth="1"/>
    <col min="7" max="7" width="2.75" customWidth="1"/>
    <col min="8" max="8" width="3" customWidth="1"/>
    <col min="9" max="9" width="4" customWidth="1"/>
    <col min="10" max="10" width="6.75" customWidth="1"/>
    <col min="11" max="11" width="12.25" customWidth="1"/>
    <col min="12" max="12" width="11.875" customWidth="1"/>
    <col min="14" max="14" width="18.875" customWidth="1"/>
    <col min="15" max="15" width="17.125" customWidth="1"/>
    <col min="16" max="17" width="7.75" customWidth="1"/>
    <col min="18" max="21" width="9" customWidth="1"/>
    <col min="22" max="24" width="7.75" customWidth="1"/>
    <col min="25" max="27" width="7.625" customWidth="1"/>
    <col min="28" max="28" width="6.125" customWidth="1"/>
    <col min="29" max="29" width="7.125" customWidth="1"/>
    <col min="30" max="32" width="7.75" customWidth="1"/>
    <col min="246" max="246" width="10.375" customWidth="1"/>
    <col min="247" max="247" width="20.75" customWidth="1"/>
    <col min="248" max="248" width="4.25" customWidth="1"/>
    <col min="249" max="249" width="4.375" customWidth="1"/>
    <col min="250" max="250" width="3.375" customWidth="1"/>
    <col min="251" max="251" width="2.25" customWidth="1"/>
    <col min="252" max="252" width="2.75" customWidth="1"/>
    <col min="253" max="253" width="3" customWidth="1"/>
    <col min="254" max="254" width="4" customWidth="1"/>
    <col min="255" max="255" width="6.75" customWidth="1"/>
    <col min="256" max="256" width="12.25" customWidth="1"/>
    <col min="257" max="257" width="11.875" customWidth="1"/>
    <col min="258" max="258" width="4.375" customWidth="1"/>
    <col min="259" max="259" width="4" customWidth="1"/>
    <col min="260" max="260" width="3.625" customWidth="1"/>
    <col min="261" max="261" width="20.125" customWidth="1"/>
    <col min="262" max="262" width="17.875" customWidth="1"/>
    <col min="263" max="263" width="1" customWidth="1"/>
    <col min="264" max="264" width="15.125" customWidth="1"/>
    <col min="265" max="265" width="18.125" customWidth="1"/>
    <col min="502" max="502" width="10.375" customWidth="1"/>
    <col min="503" max="503" width="20.75" customWidth="1"/>
    <col min="504" max="504" width="4.25" customWidth="1"/>
    <col min="505" max="505" width="4.375" customWidth="1"/>
    <col min="506" max="506" width="3.375" customWidth="1"/>
    <col min="507" max="507" width="2.25" customWidth="1"/>
    <col min="508" max="508" width="2.75" customWidth="1"/>
    <col min="509" max="509" width="3" customWidth="1"/>
    <col min="510" max="510" width="4" customWidth="1"/>
    <col min="511" max="511" width="6.75" customWidth="1"/>
    <col min="512" max="512" width="12.25" customWidth="1"/>
    <col min="513" max="513" width="11.875" customWidth="1"/>
    <col min="514" max="514" width="4.375" customWidth="1"/>
    <col min="515" max="515" width="4" customWidth="1"/>
    <col min="516" max="516" width="3.625" customWidth="1"/>
    <col min="517" max="517" width="20.125" customWidth="1"/>
    <col min="518" max="518" width="17.875" customWidth="1"/>
    <col min="519" max="519" width="1" customWidth="1"/>
    <col min="520" max="520" width="15.125" customWidth="1"/>
    <col min="521" max="521" width="18.125" customWidth="1"/>
    <col min="758" max="758" width="10.375" customWidth="1"/>
    <col min="759" max="759" width="20.75" customWidth="1"/>
    <col min="760" max="760" width="4.25" customWidth="1"/>
    <col min="761" max="761" width="4.375" customWidth="1"/>
    <col min="762" max="762" width="3.375" customWidth="1"/>
    <col min="763" max="763" width="2.25" customWidth="1"/>
    <col min="764" max="764" width="2.75" customWidth="1"/>
    <col min="765" max="765" width="3" customWidth="1"/>
    <col min="766" max="766" width="4" customWidth="1"/>
    <col min="767" max="767" width="6.75" customWidth="1"/>
    <col min="768" max="768" width="12.25" customWidth="1"/>
    <col min="769" max="769" width="11.875" customWidth="1"/>
    <col min="770" max="770" width="4.375" customWidth="1"/>
    <col min="771" max="771" width="4" customWidth="1"/>
    <col min="772" max="772" width="3.625" customWidth="1"/>
    <col min="773" max="773" width="20.125" customWidth="1"/>
    <col min="774" max="774" width="17.875" customWidth="1"/>
    <col min="775" max="775" width="1" customWidth="1"/>
    <col min="776" max="776" width="15.125" customWidth="1"/>
    <col min="777" max="777" width="18.125" customWidth="1"/>
    <col min="1014" max="1014" width="10.375" customWidth="1"/>
    <col min="1015" max="1015" width="20.75" customWidth="1"/>
    <col min="1016" max="1016" width="4.25" customWidth="1"/>
    <col min="1017" max="1017" width="4.375" customWidth="1"/>
    <col min="1018" max="1018" width="3.375" customWidth="1"/>
    <col min="1019" max="1019" width="2.25" customWidth="1"/>
    <col min="1020" max="1020" width="2.75" customWidth="1"/>
    <col min="1021" max="1021" width="3" customWidth="1"/>
    <col min="1022" max="1022" width="4" customWidth="1"/>
    <col min="1023" max="1023" width="6.75" customWidth="1"/>
    <col min="1024" max="1024" width="12.25" customWidth="1"/>
    <col min="1025" max="1025" width="11.875" customWidth="1"/>
    <col min="1026" max="1026" width="4.375" customWidth="1"/>
    <col min="1027" max="1027" width="4" customWidth="1"/>
    <col min="1028" max="1028" width="3.625" customWidth="1"/>
    <col min="1029" max="1029" width="20.125" customWidth="1"/>
    <col min="1030" max="1030" width="17.875" customWidth="1"/>
    <col min="1031" max="1031" width="1" customWidth="1"/>
    <col min="1032" max="1032" width="15.125" customWidth="1"/>
    <col min="1033" max="1033" width="18.125" customWidth="1"/>
    <col min="1270" max="1270" width="10.375" customWidth="1"/>
    <col min="1271" max="1271" width="20.75" customWidth="1"/>
    <col min="1272" max="1272" width="4.25" customWidth="1"/>
    <col min="1273" max="1273" width="4.375" customWidth="1"/>
    <col min="1274" max="1274" width="3.375" customWidth="1"/>
    <col min="1275" max="1275" width="2.25" customWidth="1"/>
    <col min="1276" max="1276" width="2.75" customWidth="1"/>
    <col min="1277" max="1277" width="3" customWidth="1"/>
    <col min="1278" max="1278" width="4" customWidth="1"/>
    <col min="1279" max="1279" width="6.75" customWidth="1"/>
    <col min="1280" max="1280" width="12.25" customWidth="1"/>
    <col min="1281" max="1281" width="11.875" customWidth="1"/>
    <col min="1282" max="1282" width="4.375" customWidth="1"/>
    <col min="1283" max="1283" width="4" customWidth="1"/>
    <col min="1284" max="1284" width="3.625" customWidth="1"/>
    <col min="1285" max="1285" width="20.125" customWidth="1"/>
    <col min="1286" max="1286" width="17.875" customWidth="1"/>
    <col min="1287" max="1287" width="1" customWidth="1"/>
    <col min="1288" max="1288" width="15.125" customWidth="1"/>
    <col min="1289" max="1289" width="18.125" customWidth="1"/>
    <col min="1526" max="1526" width="10.375" customWidth="1"/>
    <col min="1527" max="1527" width="20.75" customWidth="1"/>
    <col min="1528" max="1528" width="4.25" customWidth="1"/>
    <col min="1529" max="1529" width="4.375" customWidth="1"/>
    <col min="1530" max="1530" width="3.375" customWidth="1"/>
    <col min="1531" max="1531" width="2.25" customWidth="1"/>
    <col min="1532" max="1532" width="2.75" customWidth="1"/>
    <col min="1533" max="1533" width="3" customWidth="1"/>
    <col min="1534" max="1534" width="4" customWidth="1"/>
    <col min="1535" max="1535" width="6.75" customWidth="1"/>
    <col min="1536" max="1536" width="12.25" customWidth="1"/>
    <col min="1537" max="1537" width="11.875" customWidth="1"/>
    <col min="1538" max="1538" width="4.375" customWidth="1"/>
    <col min="1539" max="1539" width="4" customWidth="1"/>
    <col min="1540" max="1540" width="3.625" customWidth="1"/>
    <col min="1541" max="1541" width="20.125" customWidth="1"/>
    <col min="1542" max="1542" width="17.875" customWidth="1"/>
    <col min="1543" max="1543" width="1" customWidth="1"/>
    <col min="1544" max="1544" width="15.125" customWidth="1"/>
    <col min="1545" max="1545" width="18.125" customWidth="1"/>
    <col min="1782" max="1782" width="10.375" customWidth="1"/>
    <col min="1783" max="1783" width="20.75" customWidth="1"/>
    <col min="1784" max="1784" width="4.25" customWidth="1"/>
    <col min="1785" max="1785" width="4.375" customWidth="1"/>
    <col min="1786" max="1786" width="3.375" customWidth="1"/>
    <col min="1787" max="1787" width="2.25" customWidth="1"/>
    <col min="1788" max="1788" width="2.75" customWidth="1"/>
    <col min="1789" max="1789" width="3" customWidth="1"/>
    <col min="1790" max="1790" width="4" customWidth="1"/>
    <col min="1791" max="1791" width="6.75" customWidth="1"/>
    <col min="1792" max="1792" width="12.25" customWidth="1"/>
    <col min="1793" max="1793" width="11.875" customWidth="1"/>
    <col min="1794" max="1794" width="4.375" customWidth="1"/>
    <col min="1795" max="1795" width="4" customWidth="1"/>
    <col min="1796" max="1796" width="3.625" customWidth="1"/>
    <col min="1797" max="1797" width="20.125" customWidth="1"/>
    <col min="1798" max="1798" width="17.875" customWidth="1"/>
    <col min="1799" max="1799" width="1" customWidth="1"/>
    <col min="1800" max="1800" width="15.125" customWidth="1"/>
    <col min="1801" max="1801" width="18.125" customWidth="1"/>
    <col min="2038" max="2038" width="10.375" customWidth="1"/>
    <col min="2039" max="2039" width="20.75" customWidth="1"/>
    <col min="2040" max="2040" width="4.25" customWidth="1"/>
    <col min="2041" max="2041" width="4.375" customWidth="1"/>
    <col min="2042" max="2042" width="3.375" customWidth="1"/>
    <col min="2043" max="2043" width="2.25" customWidth="1"/>
    <col min="2044" max="2044" width="2.75" customWidth="1"/>
    <col min="2045" max="2045" width="3" customWidth="1"/>
    <col min="2046" max="2046" width="4" customWidth="1"/>
    <col min="2047" max="2047" width="6.75" customWidth="1"/>
    <col min="2048" max="2048" width="12.25" customWidth="1"/>
    <col min="2049" max="2049" width="11.875" customWidth="1"/>
    <col min="2050" max="2050" width="4.375" customWidth="1"/>
    <col min="2051" max="2051" width="4" customWidth="1"/>
    <col min="2052" max="2052" width="3.625" customWidth="1"/>
    <col min="2053" max="2053" width="20.125" customWidth="1"/>
    <col min="2054" max="2054" width="17.875" customWidth="1"/>
    <col min="2055" max="2055" width="1" customWidth="1"/>
    <col min="2056" max="2056" width="15.125" customWidth="1"/>
    <col min="2057" max="2057" width="18.125" customWidth="1"/>
    <col min="2294" max="2294" width="10.375" customWidth="1"/>
    <col min="2295" max="2295" width="20.75" customWidth="1"/>
    <col min="2296" max="2296" width="4.25" customWidth="1"/>
    <col min="2297" max="2297" width="4.375" customWidth="1"/>
    <col min="2298" max="2298" width="3.375" customWidth="1"/>
    <col min="2299" max="2299" width="2.25" customWidth="1"/>
    <col min="2300" max="2300" width="2.75" customWidth="1"/>
    <col min="2301" max="2301" width="3" customWidth="1"/>
    <col min="2302" max="2302" width="4" customWidth="1"/>
    <col min="2303" max="2303" width="6.75" customWidth="1"/>
    <col min="2304" max="2304" width="12.25" customWidth="1"/>
    <col min="2305" max="2305" width="11.875" customWidth="1"/>
    <col min="2306" max="2306" width="4.375" customWidth="1"/>
    <col min="2307" max="2307" width="4" customWidth="1"/>
    <col min="2308" max="2308" width="3.625" customWidth="1"/>
    <col min="2309" max="2309" width="20.125" customWidth="1"/>
    <col min="2310" max="2310" width="17.875" customWidth="1"/>
    <col min="2311" max="2311" width="1" customWidth="1"/>
    <col min="2312" max="2312" width="15.125" customWidth="1"/>
    <col min="2313" max="2313" width="18.125" customWidth="1"/>
    <col min="2550" max="2550" width="10.375" customWidth="1"/>
    <col min="2551" max="2551" width="20.75" customWidth="1"/>
    <col min="2552" max="2552" width="4.25" customWidth="1"/>
    <col min="2553" max="2553" width="4.375" customWidth="1"/>
    <col min="2554" max="2554" width="3.375" customWidth="1"/>
    <col min="2555" max="2555" width="2.25" customWidth="1"/>
    <col min="2556" max="2556" width="2.75" customWidth="1"/>
    <col min="2557" max="2557" width="3" customWidth="1"/>
    <col min="2558" max="2558" width="4" customWidth="1"/>
    <col min="2559" max="2559" width="6.75" customWidth="1"/>
    <col min="2560" max="2560" width="12.25" customWidth="1"/>
    <col min="2561" max="2561" width="11.875" customWidth="1"/>
    <col min="2562" max="2562" width="4.375" customWidth="1"/>
    <col min="2563" max="2563" width="4" customWidth="1"/>
    <col min="2564" max="2564" width="3.625" customWidth="1"/>
    <col min="2565" max="2565" width="20.125" customWidth="1"/>
    <col min="2566" max="2566" width="17.875" customWidth="1"/>
    <col min="2567" max="2567" width="1" customWidth="1"/>
    <col min="2568" max="2568" width="15.125" customWidth="1"/>
    <col min="2569" max="2569" width="18.125" customWidth="1"/>
    <col min="2806" max="2806" width="10.375" customWidth="1"/>
    <col min="2807" max="2807" width="20.75" customWidth="1"/>
    <col min="2808" max="2808" width="4.25" customWidth="1"/>
    <col min="2809" max="2809" width="4.375" customWidth="1"/>
    <col min="2810" max="2810" width="3.375" customWidth="1"/>
    <col min="2811" max="2811" width="2.25" customWidth="1"/>
    <col min="2812" max="2812" width="2.75" customWidth="1"/>
    <col min="2813" max="2813" width="3" customWidth="1"/>
    <col min="2814" max="2814" width="4" customWidth="1"/>
    <col min="2815" max="2815" width="6.75" customWidth="1"/>
    <col min="2816" max="2816" width="12.25" customWidth="1"/>
    <col min="2817" max="2817" width="11.875" customWidth="1"/>
    <col min="2818" max="2818" width="4.375" customWidth="1"/>
    <col min="2819" max="2819" width="4" customWidth="1"/>
    <col min="2820" max="2820" width="3.625" customWidth="1"/>
    <col min="2821" max="2821" width="20.125" customWidth="1"/>
    <col min="2822" max="2822" width="17.875" customWidth="1"/>
    <col min="2823" max="2823" width="1" customWidth="1"/>
    <col min="2824" max="2824" width="15.125" customWidth="1"/>
    <col min="2825" max="2825" width="18.125" customWidth="1"/>
    <col min="3062" max="3062" width="10.375" customWidth="1"/>
    <col min="3063" max="3063" width="20.75" customWidth="1"/>
    <col min="3064" max="3064" width="4.25" customWidth="1"/>
    <col min="3065" max="3065" width="4.375" customWidth="1"/>
    <col min="3066" max="3066" width="3.375" customWidth="1"/>
    <col min="3067" max="3067" width="2.25" customWidth="1"/>
    <col min="3068" max="3068" width="2.75" customWidth="1"/>
    <col min="3069" max="3069" width="3" customWidth="1"/>
    <col min="3070" max="3070" width="4" customWidth="1"/>
    <col min="3071" max="3071" width="6.75" customWidth="1"/>
    <col min="3072" max="3072" width="12.25" customWidth="1"/>
    <col min="3073" max="3073" width="11.875" customWidth="1"/>
    <col min="3074" max="3074" width="4.375" customWidth="1"/>
    <col min="3075" max="3075" width="4" customWidth="1"/>
    <col min="3076" max="3076" width="3.625" customWidth="1"/>
    <col min="3077" max="3077" width="20.125" customWidth="1"/>
    <col min="3078" max="3078" width="17.875" customWidth="1"/>
    <col min="3079" max="3079" width="1" customWidth="1"/>
    <col min="3080" max="3080" width="15.125" customWidth="1"/>
    <col min="3081" max="3081" width="18.125" customWidth="1"/>
    <col min="3318" max="3318" width="10.375" customWidth="1"/>
    <col min="3319" max="3319" width="20.75" customWidth="1"/>
    <col min="3320" max="3320" width="4.25" customWidth="1"/>
    <col min="3321" max="3321" width="4.375" customWidth="1"/>
    <col min="3322" max="3322" width="3.375" customWidth="1"/>
    <col min="3323" max="3323" width="2.25" customWidth="1"/>
    <col min="3324" max="3324" width="2.75" customWidth="1"/>
    <col min="3325" max="3325" width="3" customWidth="1"/>
    <col min="3326" max="3326" width="4" customWidth="1"/>
    <col min="3327" max="3327" width="6.75" customWidth="1"/>
    <col min="3328" max="3328" width="12.25" customWidth="1"/>
    <col min="3329" max="3329" width="11.875" customWidth="1"/>
    <col min="3330" max="3330" width="4.375" customWidth="1"/>
    <col min="3331" max="3331" width="4" customWidth="1"/>
    <col min="3332" max="3332" width="3.625" customWidth="1"/>
    <col min="3333" max="3333" width="20.125" customWidth="1"/>
    <col min="3334" max="3334" width="17.875" customWidth="1"/>
    <col min="3335" max="3335" width="1" customWidth="1"/>
    <col min="3336" max="3336" width="15.125" customWidth="1"/>
    <col min="3337" max="3337" width="18.125" customWidth="1"/>
    <col min="3574" max="3574" width="10.375" customWidth="1"/>
    <col min="3575" max="3575" width="20.75" customWidth="1"/>
    <col min="3576" max="3576" width="4.25" customWidth="1"/>
    <col min="3577" max="3577" width="4.375" customWidth="1"/>
    <col min="3578" max="3578" width="3.375" customWidth="1"/>
    <col min="3579" max="3579" width="2.25" customWidth="1"/>
    <col min="3580" max="3580" width="2.75" customWidth="1"/>
    <col min="3581" max="3581" width="3" customWidth="1"/>
    <col min="3582" max="3582" width="4" customWidth="1"/>
    <col min="3583" max="3583" width="6.75" customWidth="1"/>
    <col min="3584" max="3584" width="12.25" customWidth="1"/>
    <col min="3585" max="3585" width="11.875" customWidth="1"/>
    <col min="3586" max="3586" width="4.375" customWidth="1"/>
    <col min="3587" max="3587" width="4" customWidth="1"/>
    <col min="3588" max="3588" width="3.625" customWidth="1"/>
    <col min="3589" max="3589" width="20.125" customWidth="1"/>
    <col min="3590" max="3590" width="17.875" customWidth="1"/>
    <col min="3591" max="3591" width="1" customWidth="1"/>
    <col min="3592" max="3592" width="15.125" customWidth="1"/>
    <col min="3593" max="3593" width="18.125" customWidth="1"/>
    <col min="3830" max="3830" width="10.375" customWidth="1"/>
    <col min="3831" max="3831" width="20.75" customWidth="1"/>
    <col min="3832" max="3832" width="4.25" customWidth="1"/>
    <col min="3833" max="3833" width="4.375" customWidth="1"/>
    <col min="3834" max="3834" width="3.375" customWidth="1"/>
    <col min="3835" max="3835" width="2.25" customWidth="1"/>
    <col min="3836" max="3836" width="2.75" customWidth="1"/>
    <col min="3837" max="3837" width="3" customWidth="1"/>
    <col min="3838" max="3838" width="4" customWidth="1"/>
    <col min="3839" max="3839" width="6.75" customWidth="1"/>
    <col min="3840" max="3840" width="12.25" customWidth="1"/>
    <col min="3841" max="3841" width="11.875" customWidth="1"/>
    <col min="3842" max="3842" width="4.375" customWidth="1"/>
    <col min="3843" max="3843" width="4" customWidth="1"/>
    <col min="3844" max="3844" width="3.625" customWidth="1"/>
    <col min="3845" max="3845" width="20.125" customWidth="1"/>
    <col min="3846" max="3846" width="17.875" customWidth="1"/>
    <col min="3847" max="3847" width="1" customWidth="1"/>
    <col min="3848" max="3848" width="15.125" customWidth="1"/>
    <col min="3849" max="3849" width="18.125" customWidth="1"/>
    <col min="4086" max="4086" width="10.375" customWidth="1"/>
    <col min="4087" max="4087" width="20.75" customWidth="1"/>
    <col min="4088" max="4088" width="4.25" customWidth="1"/>
    <col min="4089" max="4089" width="4.375" customWidth="1"/>
    <col min="4090" max="4090" width="3.375" customWidth="1"/>
    <col min="4091" max="4091" width="2.25" customWidth="1"/>
    <col min="4092" max="4092" width="2.75" customWidth="1"/>
    <col min="4093" max="4093" width="3" customWidth="1"/>
    <col min="4094" max="4094" width="4" customWidth="1"/>
    <col min="4095" max="4095" width="6.75" customWidth="1"/>
    <col min="4096" max="4096" width="12.25" customWidth="1"/>
    <col min="4097" max="4097" width="11.875" customWidth="1"/>
    <col min="4098" max="4098" width="4.375" customWidth="1"/>
    <col min="4099" max="4099" width="4" customWidth="1"/>
    <col min="4100" max="4100" width="3.625" customWidth="1"/>
    <col min="4101" max="4101" width="20.125" customWidth="1"/>
    <col min="4102" max="4102" width="17.875" customWidth="1"/>
    <col min="4103" max="4103" width="1" customWidth="1"/>
    <col min="4104" max="4104" width="15.125" customWidth="1"/>
    <col min="4105" max="4105" width="18.125" customWidth="1"/>
    <col min="4342" max="4342" width="10.375" customWidth="1"/>
    <col min="4343" max="4343" width="20.75" customWidth="1"/>
    <col min="4344" max="4344" width="4.25" customWidth="1"/>
    <col min="4345" max="4345" width="4.375" customWidth="1"/>
    <col min="4346" max="4346" width="3.375" customWidth="1"/>
    <col min="4347" max="4347" width="2.25" customWidth="1"/>
    <col min="4348" max="4348" width="2.75" customWidth="1"/>
    <col min="4349" max="4349" width="3" customWidth="1"/>
    <col min="4350" max="4350" width="4" customWidth="1"/>
    <col min="4351" max="4351" width="6.75" customWidth="1"/>
    <col min="4352" max="4352" width="12.25" customWidth="1"/>
    <col min="4353" max="4353" width="11.875" customWidth="1"/>
    <col min="4354" max="4354" width="4.375" customWidth="1"/>
    <col min="4355" max="4355" width="4" customWidth="1"/>
    <col min="4356" max="4356" width="3.625" customWidth="1"/>
    <col min="4357" max="4357" width="20.125" customWidth="1"/>
    <col min="4358" max="4358" width="17.875" customWidth="1"/>
    <col min="4359" max="4359" width="1" customWidth="1"/>
    <col min="4360" max="4360" width="15.125" customWidth="1"/>
    <col min="4361" max="4361" width="18.125" customWidth="1"/>
    <col min="4598" max="4598" width="10.375" customWidth="1"/>
    <col min="4599" max="4599" width="20.75" customWidth="1"/>
    <col min="4600" max="4600" width="4.25" customWidth="1"/>
    <col min="4601" max="4601" width="4.375" customWidth="1"/>
    <col min="4602" max="4602" width="3.375" customWidth="1"/>
    <col min="4603" max="4603" width="2.25" customWidth="1"/>
    <col min="4604" max="4604" width="2.75" customWidth="1"/>
    <col min="4605" max="4605" width="3" customWidth="1"/>
    <col min="4606" max="4606" width="4" customWidth="1"/>
    <col min="4607" max="4607" width="6.75" customWidth="1"/>
    <col min="4608" max="4608" width="12.25" customWidth="1"/>
    <col min="4609" max="4609" width="11.875" customWidth="1"/>
    <col min="4610" max="4610" width="4.375" customWidth="1"/>
    <col min="4611" max="4611" width="4" customWidth="1"/>
    <col min="4612" max="4612" width="3.625" customWidth="1"/>
    <col min="4613" max="4613" width="20.125" customWidth="1"/>
    <col min="4614" max="4614" width="17.875" customWidth="1"/>
    <col min="4615" max="4615" width="1" customWidth="1"/>
    <col min="4616" max="4616" width="15.125" customWidth="1"/>
    <col min="4617" max="4617" width="18.125" customWidth="1"/>
    <col min="4854" max="4854" width="10.375" customWidth="1"/>
    <col min="4855" max="4855" width="20.75" customWidth="1"/>
    <col min="4856" max="4856" width="4.25" customWidth="1"/>
    <col min="4857" max="4857" width="4.375" customWidth="1"/>
    <col min="4858" max="4858" width="3.375" customWidth="1"/>
    <col min="4859" max="4859" width="2.25" customWidth="1"/>
    <col min="4860" max="4860" width="2.75" customWidth="1"/>
    <col min="4861" max="4861" width="3" customWidth="1"/>
    <col min="4862" max="4862" width="4" customWidth="1"/>
    <col min="4863" max="4863" width="6.75" customWidth="1"/>
    <col min="4864" max="4864" width="12.25" customWidth="1"/>
    <col min="4865" max="4865" width="11.875" customWidth="1"/>
    <col min="4866" max="4866" width="4.375" customWidth="1"/>
    <col min="4867" max="4867" width="4" customWidth="1"/>
    <col min="4868" max="4868" width="3.625" customWidth="1"/>
    <col min="4869" max="4869" width="20.125" customWidth="1"/>
    <col min="4870" max="4870" width="17.875" customWidth="1"/>
    <col min="4871" max="4871" width="1" customWidth="1"/>
    <col min="4872" max="4872" width="15.125" customWidth="1"/>
    <col min="4873" max="4873" width="18.125" customWidth="1"/>
    <col min="5110" max="5110" width="10.375" customWidth="1"/>
    <col min="5111" max="5111" width="20.75" customWidth="1"/>
    <col min="5112" max="5112" width="4.25" customWidth="1"/>
    <col min="5113" max="5113" width="4.375" customWidth="1"/>
    <col min="5114" max="5114" width="3.375" customWidth="1"/>
    <col min="5115" max="5115" width="2.25" customWidth="1"/>
    <col min="5116" max="5116" width="2.75" customWidth="1"/>
    <col min="5117" max="5117" width="3" customWidth="1"/>
    <col min="5118" max="5118" width="4" customWidth="1"/>
    <col min="5119" max="5119" width="6.75" customWidth="1"/>
    <col min="5120" max="5120" width="12.25" customWidth="1"/>
    <col min="5121" max="5121" width="11.875" customWidth="1"/>
    <col min="5122" max="5122" width="4.375" customWidth="1"/>
    <col min="5123" max="5123" width="4" customWidth="1"/>
    <col min="5124" max="5124" width="3.625" customWidth="1"/>
    <col min="5125" max="5125" width="20.125" customWidth="1"/>
    <col min="5126" max="5126" width="17.875" customWidth="1"/>
    <col min="5127" max="5127" width="1" customWidth="1"/>
    <col min="5128" max="5128" width="15.125" customWidth="1"/>
    <col min="5129" max="5129" width="18.125" customWidth="1"/>
    <col min="5366" max="5366" width="10.375" customWidth="1"/>
    <col min="5367" max="5367" width="20.75" customWidth="1"/>
    <col min="5368" max="5368" width="4.25" customWidth="1"/>
    <col min="5369" max="5369" width="4.375" customWidth="1"/>
    <col min="5370" max="5370" width="3.375" customWidth="1"/>
    <col min="5371" max="5371" width="2.25" customWidth="1"/>
    <col min="5372" max="5372" width="2.75" customWidth="1"/>
    <col min="5373" max="5373" width="3" customWidth="1"/>
    <col min="5374" max="5374" width="4" customWidth="1"/>
    <col min="5375" max="5375" width="6.75" customWidth="1"/>
    <col min="5376" max="5376" width="12.25" customWidth="1"/>
    <col min="5377" max="5377" width="11.875" customWidth="1"/>
    <col min="5378" max="5378" width="4.375" customWidth="1"/>
    <col min="5379" max="5379" width="4" customWidth="1"/>
    <col min="5380" max="5380" width="3.625" customWidth="1"/>
    <col min="5381" max="5381" width="20.125" customWidth="1"/>
    <col min="5382" max="5382" width="17.875" customWidth="1"/>
    <col min="5383" max="5383" width="1" customWidth="1"/>
    <col min="5384" max="5384" width="15.125" customWidth="1"/>
    <col min="5385" max="5385" width="18.125" customWidth="1"/>
    <col min="5622" max="5622" width="10.375" customWidth="1"/>
    <col min="5623" max="5623" width="20.75" customWidth="1"/>
    <col min="5624" max="5624" width="4.25" customWidth="1"/>
    <col min="5625" max="5625" width="4.375" customWidth="1"/>
    <col min="5626" max="5626" width="3.375" customWidth="1"/>
    <col min="5627" max="5627" width="2.25" customWidth="1"/>
    <col min="5628" max="5628" width="2.75" customWidth="1"/>
    <col min="5629" max="5629" width="3" customWidth="1"/>
    <col min="5630" max="5630" width="4" customWidth="1"/>
    <col min="5631" max="5631" width="6.75" customWidth="1"/>
    <col min="5632" max="5632" width="12.25" customWidth="1"/>
    <col min="5633" max="5633" width="11.875" customWidth="1"/>
    <col min="5634" max="5634" width="4.375" customWidth="1"/>
    <col min="5635" max="5635" width="4" customWidth="1"/>
    <col min="5636" max="5636" width="3.625" customWidth="1"/>
    <col min="5637" max="5637" width="20.125" customWidth="1"/>
    <col min="5638" max="5638" width="17.875" customWidth="1"/>
    <col min="5639" max="5639" width="1" customWidth="1"/>
    <col min="5640" max="5640" width="15.125" customWidth="1"/>
    <col min="5641" max="5641" width="18.125" customWidth="1"/>
    <col min="5878" max="5878" width="10.375" customWidth="1"/>
    <col min="5879" max="5879" width="20.75" customWidth="1"/>
    <col min="5880" max="5880" width="4.25" customWidth="1"/>
    <col min="5881" max="5881" width="4.375" customWidth="1"/>
    <col min="5882" max="5882" width="3.375" customWidth="1"/>
    <col min="5883" max="5883" width="2.25" customWidth="1"/>
    <col min="5884" max="5884" width="2.75" customWidth="1"/>
    <col min="5885" max="5885" width="3" customWidth="1"/>
    <col min="5886" max="5886" width="4" customWidth="1"/>
    <col min="5887" max="5887" width="6.75" customWidth="1"/>
    <col min="5888" max="5888" width="12.25" customWidth="1"/>
    <col min="5889" max="5889" width="11.875" customWidth="1"/>
    <col min="5890" max="5890" width="4.375" customWidth="1"/>
    <col min="5891" max="5891" width="4" customWidth="1"/>
    <col min="5892" max="5892" width="3.625" customWidth="1"/>
    <col min="5893" max="5893" width="20.125" customWidth="1"/>
    <col min="5894" max="5894" width="17.875" customWidth="1"/>
    <col min="5895" max="5895" width="1" customWidth="1"/>
    <col min="5896" max="5896" width="15.125" customWidth="1"/>
    <col min="5897" max="5897" width="18.125" customWidth="1"/>
    <col min="6134" max="6134" width="10.375" customWidth="1"/>
    <col min="6135" max="6135" width="20.75" customWidth="1"/>
    <col min="6136" max="6136" width="4.25" customWidth="1"/>
    <col min="6137" max="6137" width="4.375" customWidth="1"/>
    <col min="6138" max="6138" width="3.375" customWidth="1"/>
    <col min="6139" max="6139" width="2.25" customWidth="1"/>
    <col min="6140" max="6140" width="2.75" customWidth="1"/>
    <col min="6141" max="6141" width="3" customWidth="1"/>
    <col min="6142" max="6142" width="4" customWidth="1"/>
    <col min="6143" max="6143" width="6.75" customWidth="1"/>
    <col min="6144" max="6144" width="12.25" customWidth="1"/>
    <col min="6145" max="6145" width="11.875" customWidth="1"/>
    <col min="6146" max="6146" width="4.375" customWidth="1"/>
    <col min="6147" max="6147" width="4" customWidth="1"/>
    <col min="6148" max="6148" width="3.625" customWidth="1"/>
    <col min="6149" max="6149" width="20.125" customWidth="1"/>
    <col min="6150" max="6150" width="17.875" customWidth="1"/>
    <col min="6151" max="6151" width="1" customWidth="1"/>
    <col min="6152" max="6152" width="15.125" customWidth="1"/>
    <col min="6153" max="6153" width="18.125" customWidth="1"/>
    <col min="6390" max="6390" width="10.375" customWidth="1"/>
    <col min="6391" max="6391" width="20.75" customWidth="1"/>
    <col min="6392" max="6392" width="4.25" customWidth="1"/>
    <col min="6393" max="6393" width="4.375" customWidth="1"/>
    <col min="6394" max="6394" width="3.375" customWidth="1"/>
    <col min="6395" max="6395" width="2.25" customWidth="1"/>
    <col min="6396" max="6396" width="2.75" customWidth="1"/>
    <col min="6397" max="6397" width="3" customWidth="1"/>
    <col min="6398" max="6398" width="4" customWidth="1"/>
    <col min="6399" max="6399" width="6.75" customWidth="1"/>
    <col min="6400" max="6400" width="12.25" customWidth="1"/>
    <col min="6401" max="6401" width="11.875" customWidth="1"/>
    <col min="6402" max="6402" width="4.375" customWidth="1"/>
    <col min="6403" max="6403" width="4" customWidth="1"/>
    <col min="6404" max="6404" width="3.625" customWidth="1"/>
    <col min="6405" max="6405" width="20.125" customWidth="1"/>
    <col min="6406" max="6406" width="17.875" customWidth="1"/>
    <col min="6407" max="6407" width="1" customWidth="1"/>
    <col min="6408" max="6408" width="15.125" customWidth="1"/>
    <col min="6409" max="6409" width="18.125" customWidth="1"/>
    <col min="6646" max="6646" width="10.375" customWidth="1"/>
    <col min="6647" max="6647" width="20.75" customWidth="1"/>
    <col min="6648" max="6648" width="4.25" customWidth="1"/>
    <col min="6649" max="6649" width="4.375" customWidth="1"/>
    <col min="6650" max="6650" width="3.375" customWidth="1"/>
    <col min="6651" max="6651" width="2.25" customWidth="1"/>
    <col min="6652" max="6652" width="2.75" customWidth="1"/>
    <col min="6653" max="6653" width="3" customWidth="1"/>
    <col min="6654" max="6654" width="4" customWidth="1"/>
    <col min="6655" max="6655" width="6.75" customWidth="1"/>
    <col min="6656" max="6656" width="12.25" customWidth="1"/>
    <col min="6657" max="6657" width="11.875" customWidth="1"/>
    <col min="6658" max="6658" width="4.375" customWidth="1"/>
    <col min="6659" max="6659" width="4" customWidth="1"/>
    <col min="6660" max="6660" width="3.625" customWidth="1"/>
    <col min="6661" max="6661" width="20.125" customWidth="1"/>
    <col min="6662" max="6662" width="17.875" customWidth="1"/>
    <col min="6663" max="6663" width="1" customWidth="1"/>
    <col min="6664" max="6664" width="15.125" customWidth="1"/>
    <col min="6665" max="6665" width="18.125" customWidth="1"/>
    <col min="6902" max="6902" width="10.375" customWidth="1"/>
    <col min="6903" max="6903" width="20.75" customWidth="1"/>
    <col min="6904" max="6904" width="4.25" customWidth="1"/>
    <col min="6905" max="6905" width="4.375" customWidth="1"/>
    <col min="6906" max="6906" width="3.375" customWidth="1"/>
    <col min="6907" max="6907" width="2.25" customWidth="1"/>
    <col min="6908" max="6908" width="2.75" customWidth="1"/>
    <col min="6909" max="6909" width="3" customWidth="1"/>
    <col min="6910" max="6910" width="4" customWidth="1"/>
    <col min="6911" max="6911" width="6.75" customWidth="1"/>
    <col min="6912" max="6912" width="12.25" customWidth="1"/>
    <col min="6913" max="6913" width="11.875" customWidth="1"/>
    <col min="6914" max="6914" width="4.375" customWidth="1"/>
    <col min="6915" max="6915" width="4" customWidth="1"/>
    <col min="6916" max="6916" width="3.625" customWidth="1"/>
    <col min="6917" max="6917" width="20.125" customWidth="1"/>
    <col min="6918" max="6918" width="17.875" customWidth="1"/>
    <col min="6919" max="6919" width="1" customWidth="1"/>
    <col min="6920" max="6920" width="15.125" customWidth="1"/>
    <col min="6921" max="6921" width="18.125" customWidth="1"/>
    <col min="7158" max="7158" width="10.375" customWidth="1"/>
    <col min="7159" max="7159" width="20.75" customWidth="1"/>
    <col min="7160" max="7160" width="4.25" customWidth="1"/>
    <col min="7161" max="7161" width="4.375" customWidth="1"/>
    <col min="7162" max="7162" width="3.375" customWidth="1"/>
    <col min="7163" max="7163" width="2.25" customWidth="1"/>
    <col min="7164" max="7164" width="2.75" customWidth="1"/>
    <col min="7165" max="7165" width="3" customWidth="1"/>
    <col min="7166" max="7166" width="4" customWidth="1"/>
    <col min="7167" max="7167" width="6.75" customWidth="1"/>
    <col min="7168" max="7168" width="12.25" customWidth="1"/>
    <col min="7169" max="7169" width="11.875" customWidth="1"/>
    <col min="7170" max="7170" width="4.375" customWidth="1"/>
    <col min="7171" max="7171" width="4" customWidth="1"/>
    <col min="7172" max="7172" width="3.625" customWidth="1"/>
    <col min="7173" max="7173" width="20.125" customWidth="1"/>
    <col min="7174" max="7174" width="17.875" customWidth="1"/>
    <col min="7175" max="7175" width="1" customWidth="1"/>
    <col min="7176" max="7176" width="15.125" customWidth="1"/>
    <col min="7177" max="7177" width="18.125" customWidth="1"/>
    <col min="7414" max="7414" width="10.375" customWidth="1"/>
    <col min="7415" max="7415" width="20.75" customWidth="1"/>
    <col min="7416" max="7416" width="4.25" customWidth="1"/>
    <col min="7417" max="7417" width="4.375" customWidth="1"/>
    <col min="7418" max="7418" width="3.375" customWidth="1"/>
    <col min="7419" max="7419" width="2.25" customWidth="1"/>
    <col min="7420" max="7420" width="2.75" customWidth="1"/>
    <col min="7421" max="7421" width="3" customWidth="1"/>
    <col min="7422" max="7422" width="4" customWidth="1"/>
    <col min="7423" max="7423" width="6.75" customWidth="1"/>
    <col min="7424" max="7424" width="12.25" customWidth="1"/>
    <col min="7425" max="7425" width="11.875" customWidth="1"/>
    <col min="7426" max="7426" width="4.375" customWidth="1"/>
    <col min="7427" max="7427" width="4" customWidth="1"/>
    <col min="7428" max="7428" width="3.625" customWidth="1"/>
    <col min="7429" max="7429" width="20.125" customWidth="1"/>
    <col min="7430" max="7430" width="17.875" customWidth="1"/>
    <col min="7431" max="7431" width="1" customWidth="1"/>
    <col min="7432" max="7432" width="15.125" customWidth="1"/>
    <col min="7433" max="7433" width="18.125" customWidth="1"/>
    <col min="7670" max="7670" width="10.375" customWidth="1"/>
    <col min="7671" max="7671" width="20.75" customWidth="1"/>
    <col min="7672" max="7672" width="4.25" customWidth="1"/>
    <col min="7673" max="7673" width="4.375" customWidth="1"/>
    <col min="7674" max="7674" width="3.375" customWidth="1"/>
    <col min="7675" max="7675" width="2.25" customWidth="1"/>
    <col min="7676" max="7676" width="2.75" customWidth="1"/>
    <col min="7677" max="7677" width="3" customWidth="1"/>
    <col min="7678" max="7678" width="4" customWidth="1"/>
    <col min="7679" max="7679" width="6.75" customWidth="1"/>
    <col min="7680" max="7680" width="12.25" customWidth="1"/>
    <col min="7681" max="7681" width="11.875" customWidth="1"/>
    <col min="7682" max="7682" width="4.375" customWidth="1"/>
    <col min="7683" max="7683" width="4" customWidth="1"/>
    <col min="7684" max="7684" width="3.625" customWidth="1"/>
    <col min="7685" max="7685" width="20.125" customWidth="1"/>
    <col min="7686" max="7686" width="17.875" customWidth="1"/>
    <col min="7687" max="7687" width="1" customWidth="1"/>
    <col min="7688" max="7688" width="15.125" customWidth="1"/>
    <col min="7689" max="7689" width="18.125" customWidth="1"/>
    <col min="7926" max="7926" width="10.375" customWidth="1"/>
    <col min="7927" max="7927" width="20.75" customWidth="1"/>
    <col min="7928" max="7928" width="4.25" customWidth="1"/>
    <col min="7929" max="7929" width="4.375" customWidth="1"/>
    <col min="7930" max="7930" width="3.375" customWidth="1"/>
    <col min="7931" max="7931" width="2.25" customWidth="1"/>
    <col min="7932" max="7932" width="2.75" customWidth="1"/>
    <col min="7933" max="7933" width="3" customWidth="1"/>
    <col min="7934" max="7934" width="4" customWidth="1"/>
    <col min="7935" max="7935" width="6.75" customWidth="1"/>
    <col min="7936" max="7936" width="12.25" customWidth="1"/>
    <col min="7937" max="7937" width="11.875" customWidth="1"/>
    <col min="7938" max="7938" width="4.375" customWidth="1"/>
    <col min="7939" max="7939" width="4" customWidth="1"/>
    <col min="7940" max="7940" width="3.625" customWidth="1"/>
    <col min="7941" max="7941" width="20.125" customWidth="1"/>
    <col min="7942" max="7942" width="17.875" customWidth="1"/>
    <col min="7943" max="7943" width="1" customWidth="1"/>
    <col min="7944" max="7944" width="15.125" customWidth="1"/>
    <col min="7945" max="7945" width="18.125" customWidth="1"/>
    <col min="8182" max="8182" width="10.375" customWidth="1"/>
    <col min="8183" max="8183" width="20.75" customWidth="1"/>
    <col min="8184" max="8184" width="4.25" customWidth="1"/>
    <col min="8185" max="8185" width="4.375" customWidth="1"/>
    <col min="8186" max="8186" width="3.375" customWidth="1"/>
    <col min="8187" max="8187" width="2.25" customWidth="1"/>
    <col min="8188" max="8188" width="2.75" customWidth="1"/>
    <col min="8189" max="8189" width="3" customWidth="1"/>
    <col min="8190" max="8190" width="4" customWidth="1"/>
    <col min="8191" max="8191" width="6.75" customWidth="1"/>
    <col min="8192" max="8192" width="12.25" customWidth="1"/>
    <col min="8193" max="8193" width="11.875" customWidth="1"/>
    <col min="8194" max="8194" width="4.375" customWidth="1"/>
    <col min="8195" max="8195" width="4" customWidth="1"/>
    <col min="8196" max="8196" width="3.625" customWidth="1"/>
    <col min="8197" max="8197" width="20.125" customWidth="1"/>
    <col min="8198" max="8198" width="17.875" customWidth="1"/>
    <col min="8199" max="8199" width="1" customWidth="1"/>
    <col min="8200" max="8200" width="15.125" customWidth="1"/>
    <col min="8201" max="8201" width="18.125" customWidth="1"/>
    <col min="8438" max="8438" width="10.375" customWidth="1"/>
    <col min="8439" max="8439" width="20.75" customWidth="1"/>
    <col min="8440" max="8440" width="4.25" customWidth="1"/>
    <col min="8441" max="8441" width="4.375" customWidth="1"/>
    <col min="8442" max="8442" width="3.375" customWidth="1"/>
    <col min="8443" max="8443" width="2.25" customWidth="1"/>
    <col min="8444" max="8444" width="2.75" customWidth="1"/>
    <col min="8445" max="8445" width="3" customWidth="1"/>
    <col min="8446" max="8446" width="4" customWidth="1"/>
    <col min="8447" max="8447" width="6.75" customWidth="1"/>
    <col min="8448" max="8448" width="12.25" customWidth="1"/>
    <col min="8449" max="8449" width="11.875" customWidth="1"/>
    <col min="8450" max="8450" width="4.375" customWidth="1"/>
    <col min="8451" max="8451" width="4" customWidth="1"/>
    <col min="8452" max="8452" width="3.625" customWidth="1"/>
    <col min="8453" max="8453" width="20.125" customWidth="1"/>
    <col min="8454" max="8454" width="17.875" customWidth="1"/>
    <col min="8455" max="8455" width="1" customWidth="1"/>
    <col min="8456" max="8456" width="15.125" customWidth="1"/>
    <col min="8457" max="8457" width="18.125" customWidth="1"/>
    <col min="8694" max="8694" width="10.375" customWidth="1"/>
    <col min="8695" max="8695" width="20.75" customWidth="1"/>
    <col min="8696" max="8696" width="4.25" customWidth="1"/>
    <col min="8697" max="8697" width="4.375" customWidth="1"/>
    <col min="8698" max="8698" width="3.375" customWidth="1"/>
    <col min="8699" max="8699" width="2.25" customWidth="1"/>
    <col min="8700" max="8700" width="2.75" customWidth="1"/>
    <col min="8701" max="8701" width="3" customWidth="1"/>
    <col min="8702" max="8702" width="4" customWidth="1"/>
    <col min="8703" max="8703" width="6.75" customWidth="1"/>
    <col min="8704" max="8704" width="12.25" customWidth="1"/>
    <col min="8705" max="8705" width="11.875" customWidth="1"/>
    <col min="8706" max="8706" width="4.375" customWidth="1"/>
    <col min="8707" max="8707" width="4" customWidth="1"/>
    <col min="8708" max="8708" width="3.625" customWidth="1"/>
    <col min="8709" max="8709" width="20.125" customWidth="1"/>
    <col min="8710" max="8710" width="17.875" customWidth="1"/>
    <col min="8711" max="8711" width="1" customWidth="1"/>
    <col min="8712" max="8712" width="15.125" customWidth="1"/>
    <col min="8713" max="8713" width="18.125" customWidth="1"/>
    <col min="8950" max="8950" width="10.375" customWidth="1"/>
    <col min="8951" max="8951" width="20.75" customWidth="1"/>
    <col min="8952" max="8952" width="4.25" customWidth="1"/>
    <col min="8953" max="8953" width="4.375" customWidth="1"/>
    <col min="8954" max="8954" width="3.375" customWidth="1"/>
    <col min="8955" max="8955" width="2.25" customWidth="1"/>
    <col min="8956" max="8956" width="2.75" customWidth="1"/>
    <col min="8957" max="8957" width="3" customWidth="1"/>
    <col min="8958" max="8958" width="4" customWidth="1"/>
    <col min="8959" max="8959" width="6.75" customWidth="1"/>
    <col min="8960" max="8960" width="12.25" customWidth="1"/>
    <col min="8961" max="8961" width="11.875" customWidth="1"/>
    <col min="8962" max="8962" width="4.375" customWidth="1"/>
    <col min="8963" max="8963" width="4" customWidth="1"/>
    <col min="8964" max="8964" width="3.625" customWidth="1"/>
    <col min="8965" max="8965" width="20.125" customWidth="1"/>
    <col min="8966" max="8966" width="17.875" customWidth="1"/>
    <col min="8967" max="8967" width="1" customWidth="1"/>
    <col min="8968" max="8968" width="15.125" customWidth="1"/>
    <col min="8969" max="8969" width="18.125" customWidth="1"/>
    <col min="9206" max="9206" width="10.375" customWidth="1"/>
    <col min="9207" max="9207" width="20.75" customWidth="1"/>
    <col min="9208" max="9208" width="4.25" customWidth="1"/>
    <col min="9209" max="9209" width="4.375" customWidth="1"/>
    <col min="9210" max="9210" width="3.375" customWidth="1"/>
    <col min="9211" max="9211" width="2.25" customWidth="1"/>
    <col min="9212" max="9212" width="2.75" customWidth="1"/>
    <col min="9213" max="9213" width="3" customWidth="1"/>
    <col min="9214" max="9214" width="4" customWidth="1"/>
    <col min="9215" max="9215" width="6.75" customWidth="1"/>
    <col min="9216" max="9216" width="12.25" customWidth="1"/>
    <col min="9217" max="9217" width="11.875" customWidth="1"/>
    <col min="9218" max="9218" width="4.375" customWidth="1"/>
    <col min="9219" max="9219" width="4" customWidth="1"/>
    <col min="9220" max="9220" width="3.625" customWidth="1"/>
    <col min="9221" max="9221" width="20.125" customWidth="1"/>
    <col min="9222" max="9222" width="17.875" customWidth="1"/>
    <col min="9223" max="9223" width="1" customWidth="1"/>
    <col min="9224" max="9224" width="15.125" customWidth="1"/>
    <col min="9225" max="9225" width="18.125" customWidth="1"/>
    <col min="9462" max="9462" width="10.375" customWidth="1"/>
    <col min="9463" max="9463" width="20.75" customWidth="1"/>
    <col min="9464" max="9464" width="4.25" customWidth="1"/>
    <col min="9465" max="9465" width="4.375" customWidth="1"/>
    <col min="9466" max="9466" width="3.375" customWidth="1"/>
    <col min="9467" max="9467" width="2.25" customWidth="1"/>
    <col min="9468" max="9468" width="2.75" customWidth="1"/>
    <col min="9469" max="9469" width="3" customWidth="1"/>
    <col min="9470" max="9470" width="4" customWidth="1"/>
    <col min="9471" max="9471" width="6.75" customWidth="1"/>
    <col min="9472" max="9472" width="12.25" customWidth="1"/>
    <col min="9473" max="9473" width="11.875" customWidth="1"/>
    <col min="9474" max="9474" width="4.375" customWidth="1"/>
    <col min="9475" max="9475" width="4" customWidth="1"/>
    <col min="9476" max="9476" width="3.625" customWidth="1"/>
    <col min="9477" max="9477" width="20.125" customWidth="1"/>
    <col min="9478" max="9478" width="17.875" customWidth="1"/>
    <col min="9479" max="9479" width="1" customWidth="1"/>
    <col min="9480" max="9480" width="15.125" customWidth="1"/>
    <col min="9481" max="9481" width="18.125" customWidth="1"/>
    <col min="9718" max="9718" width="10.375" customWidth="1"/>
    <col min="9719" max="9719" width="20.75" customWidth="1"/>
    <col min="9720" max="9720" width="4.25" customWidth="1"/>
    <col min="9721" max="9721" width="4.375" customWidth="1"/>
    <col min="9722" max="9722" width="3.375" customWidth="1"/>
    <col min="9723" max="9723" width="2.25" customWidth="1"/>
    <col min="9724" max="9724" width="2.75" customWidth="1"/>
    <col min="9725" max="9725" width="3" customWidth="1"/>
    <col min="9726" max="9726" width="4" customWidth="1"/>
    <col min="9727" max="9727" width="6.75" customWidth="1"/>
    <col min="9728" max="9728" width="12.25" customWidth="1"/>
    <col min="9729" max="9729" width="11.875" customWidth="1"/>
    <col min="9730" max="9730" width="4.375" customWidth="1"/>
    <col min="9731" max="9731" width="4" customWidth="1"/>
    <col min="9732" max="9732" width="3.625" customWidth="1"/>
    <col min="9733" max="9733" width="20.125" customWidth="1"/>
    <col min="9734" max="9734" width="17.875" customWidth="1"/>
    <col min="9735" max="9735" width="1" customWidth="1"/>
    <col min="9736" max="9736" width="15.125" customWidth="1"/>
    <col min="9737" max="9737" width="18.125" customWidth="1"/>
    <col min="9974" max="9974" width="10.375" customWidth="1"/>
    <col min="9975" max="9975" width="20.75" customWidth="1"/>
    <col min="9976" max="9976" width="4.25" customWidth="1"/>
    <col min="9977" max="9977" width="4.375" customWidth="1"/>
    <col min="9978" max="9978" width="3.375" customWidth="1"/>
    <col min="9979" max="9979" width="2.25" customWidth="1"/>
    <col min="9980" max="9980" width="2.75" customWidth="1"/>
    <col min="9981" max="9981" width="3" customWidth="1"/>
    <col min="9982" max="9982" width="4" customWidth="1"/>
    <col min="9983" max="9983" width="6.75" customWidth="1"/>
    <col min="9984" max="9984" width="12.25" customWidth="1"/>
    <col min="9985" max="9985" width="11.875" customWidth="1"/>
    <col min="9986" max="9986" width="4.375" customWidth="1"/>
    <col min="9987" max="9987" width="4" customWidth="1"/>
    <col min="9988" max="9988" width="3.625" customWidth="1"/>
    <col min="9989" max="9989" width="20.125" customWidth="1"/>
    <col min="9990" max="9990" width="17.875" customWidth="1"/>
    <col min="9991" max="9991" width="1" customWidth="1"/>
    <col min="9992" max="9992" width="15.125" customWidth="1"/>
    <col min="9993" max="9993" width="18.125" customWidth="1"/>
    <col min="10230" max="10230" width="10.375" customWidth="1"/>
    <col min="10231" max="10231" width="20.75" customWidth="1"/>
    <col min="10232" max="10232" width="4.25" customWidth="1"/>
    <col min="10233" max="10233" width="4.375" customWidth="1"/>
    <col min="10234" max="10234" width="3.375" customWidth="1"/>
    <col min="10235" max="10235" width="2.25" customWidth="1"/>
    <col min="10236" max="10236" width="2.75" customWidth="1"/>
    <col min="10237" max="10237" width="3" customWidth="1"/>
    <col min="10238" max="10238" width="4" customWidth="1"/>
    <col min="10239" max="10239" width="6.75" customWidth="1"/>
    <col min="10240" max="10240" width="12.25" customWidth="1"/>
    <col min="10241" max="10241" width="11.875" customWidth="1"/>
    <col min="10242" max="10242" width="4.375" customWidth="1"/>
    <col min="10243" max="10243" width="4" customWidth="1"/>
    <col min="10244" max="10244" width="3.625" customWidth="1"/>
    <col min="10245" max="10245" width="20.125" customWidth="1"/>
    <col min="10246" max="10246" width="17.875" customWidth="1"/>
    <col min="10247" max="10247" width="1" customWidth="1"/>
    <col min="10248" max="10248" width="15.125" customWidth="1"/>
    <col min="10249" max="10249" width="18.125" customWidth="1"/>
    <col min="10486" max="10486" width="10.375" customWidth="1"/>
    <col min="10487" max="10487" width="20.75" customWidth="1"/>
    <col min="10488" max="10488" width="4.25" customWidth="1"/>
    <col min="10489" max="10489" width="4.375" customWidth="1"/>
    <col min="10490" max="10490" width="3.375" customWidth="1"/>
    <col min="10491" max="10491" width="2.25" customWidth="1"/>
    <col min="10492" max="10492" width="2.75" customWidth="1"/>
    <col min="10493" max="10493" width="3" customWidth="1"/>
    <col min="10494" max="10494" width="4" customWidth="1"/>
    <col min="10495" max="10495" width="6.75" customWidth="1"/>
    <col min="10496" max="10496" width="12.25" customWidth="1"/>
    <col min="10497" max="10497" width="11.875" customWidth="1"/>
    <col min="10498" max="10498" width="4.375" customWidth="1"/>
    <col min="10499" max="10499" width="4" customWidth="1"/>
    <col min="10500" max="10500" width="3.625" customWidth="1"/>
    <col min="10501" max="10501" width="20.125" customWidth="1"/>
    <col min="10502" max="10502" width="17.875" customWidth="1"/>
    <col min="10503" max="10503" width="1" customWidth="1"/>
    <col min="10504" max="10504" width="15.125" customWidth="1"/>
    <col min="10505" max="10505" width="18.125" customWidth="1"/>
    <col min="10742" max="10742" width="10.375" customWidth="1"/>
    <col min="10743" max="10743" width="20.75" customWidth="1"/>
    <col min="10744" max="10744" width="4.25" customWidth="1"/>
    <col min="10745" max="10745" width="4.375" customWidth="1"/>
    <col min="10746" max="10746" width="3.375" customWidth="1"/>
    <col min="10747" max="10747" width="2.25" customWidth="1"/>
    <col min="10748" max="10748" width="2.75" customWidth="1"/>
    <col min="10749" max="10749" width="3" customWidth="1"/>
    <col min="10750" max="10750" width="4" customWidth="1"/>
    <col min="10751" max="10751" width="6.75" customWidth="1"/>
    <col min="10752" max="10752" width="12.25" customWidth="1"/>
    <col min="10753" max="10753" width="11.875" customWidth="1"/>
    <col min="10754" max="10754" width="4.375" customWidth="1"/>
    <col min="10755" max="10755" width="4" customWidth="1"/>
    <col min="10756" max="10756" width="3.625" customWidth="1"/>
    <col min="10757" max="10757" width="20.125" customWidth="1"/>
    <col min="10758" max="10758" width="17.875" customWidth="1"/>
    <col min="10759" max="10759" width="1" customWidth="1"/>
    <col min="10760" max="10760" width="15.125" customWidth="1"/>
    <col min="10761" max="10761" width="18.125" customWidth="1"/>
    <col min="10998" max="10998" width="10.375" customWidth="1"/>
    <col min="10999" max="10999" width="20.75" customWidth="1"/>
    <col min="11000" max="11000" width="4.25" customWidth="1"/>
    <col min="11001" max="11001" width="4.375" customWidth="1"/>
    <col min="11002" max="11002" width="3.375" customWidth="1"/>
    <col min="11003" max="11003" width="2.25" customWidth="1"/>
    <col min="11004" max="11004" width="2.75" customWidth="1"/>
    <col min="11005" max="11005" width="3" customWidth="1"/>
    <col min="11006" max="11006" width="4" customWidth="1"/>
    <col min="11007" max="11007" width="6.75" customWidth="1"/>
    <col min="11008" max="11008" width="12.25" customWidth="1"/>
    <col min="11009" max="11009" width="11.875" customWidth="1"/>
    <col min="11010" max="11010" width="4.375" customWidth="1"/>
    <col min="11011" max="11011" width="4" customWidth="1"/>
    <col min="11012" max="11012" width="3.625" customWidth="1"/>
    <col min="11013" max="11013" width="20.125" customWidth="1"/>
    <col min="11014" max="11014" width="17.875" customWidth="1"/>
    <col min="11015" max="11015" width="1" customWidth="1"/>
    <col min="11016" max="11016" width="15.125" customWidth="1"/>
    <col min="11017" max="11017" width="18.125" customWidth="1"/>
    <col min="11254" max="11254" width="10.375" customWidth="1"/>
    <col min="11255" max="11255" width="20.75" customWidth="1"/>
    <col min="11256" max="11256" width="4.25" customWidth="1"/>
    <col min="11257" max="11257" width="4.375" customWidth="1"/>
    <col min="11258" max="11258" width="3.375" customWidth="1"/>
    <col min="11259" max="11259" width="2.25" customWidth="1"/>
    <col min="11260" max="11260" width="2.75" customWidth="1"/>
    <col min="11261" max="11261" width="3" customWidth="1"/>
    <col min="11262" max="11262" width="4" customWidth="1"/>
    <col min="11263" max="11263" width="6.75" customWidth="1"/>
    <col min="11264" max="11264" width="12.25" customWidth="1"/>
    <col min="11265" max="11265" width="11.875" customWidth="1"/>
    <col min="11266" max="11266" width="4.375" customWidth="1"/>
    <col min="11267" max="11267" width="4" customWidth="1"/>
    <col min="11268" max="11268" width="3.625" customWidth="1"/>
    <col min="11269" max="11269" width="20.125" customWidth="1"/>
    <col min="11270" max="11270" width="17.875" customWidth="1"/>
    <col min="11271" max="11271" width="1" customWidth="1"/>
    <col min="11272" max="11272" width="15.125" customWidth="1"/>
    <col min="11273" max="11273" width="18.125" customWidth="1"/>
    <col min="11510" max="11510" width="10.375" customWidth="1"/>
    <col min="11511" max="11511" width="20.75" customWidth="1"/>
    <col min="11512" max="11512" width="4.25" customWidth="1"/>
    <col min="11513" max="11513" width="4.375" customWidth="1"/>
    <col min="11514" max="11514" width="3.375" customWidth="1"/>
    <col min="11515" max="11515" width="2.25" customWidth="1"/>
    <col min="11516" max="11516" width="2.75" customWidth="1"/>
    <col min="11517" max="11517" width="3" customWidth="1"/>
    <col min="11518" max="11518" width="4" customWidth="1"/>
    <col min="11519" max="11519" width="6.75" customWidth="1"/>
    <col min="11520" max="11520" width="12.25" customWidth="1"/>
    <col min="11521" max="11521" width="11.875" customWidth="1"/>
    <col min="11522" max="11522" width="4.375" customWidth="1"/>
    <col min="11523" max="11523" width="4" customWidth="1"/>
    <col min="11524" max="11524" width="3.625" customWidth="1"/>
    <col min="11525" max="11525" width="20.125" customWidth="1"/>
    <col min="11526" max="11526" width="17.875" customWidth="1"/>
    <col min="11527" max="11527" width="1" customWidth="1"/>
    <col min="11528" max="11528" width="15.125" customWidth="1"/>
    <col min="11529" max="11529" width="18.125" customWidth="1"/>
    <col min="11766" max="11766" width="10.375" customWidth="1"/>
    <col min="11767" max="11767" width="20.75" customWidth="1"/>
    <col min="11768" max="11768" width="4.25" customWidth="1"/>
    <col min="11769" max="11769" width="4.375" customWidth="1"/>
    <col min="11770" max="11770" width="3.375" customWidth="1"/>
    <col min="11771" max="11771" width="2.25" customWidth="1"/>
    <col min="11772" max="11772" width="2.75" customWidth="1"/>
    <col min="11773" max="11773" width="3" customWidth="1"/>
    <col min="11774" max="11774" width="4" customWidth="1"/>
    <col min="11775" max="11775" width="6.75" customWidth="1"/>
    <col min="11776" max="11776" width="12.25" customWidth="1"/>
    <col min="11777" max="11777" width="11.875" customWidth="1"/>
    <col min="11778" max="11778" width="4.375" customWidth="1"/>
    <col min="11779" max="11779" width="4" customWidth="1"/>
    <col min="11780" max="11780" width="3.625" customWidth="1"/>
    <col min="11781" max="11781" width="20.125" customWidth="1"/>
    <col min="11782" max="11782" width="17.875" customWidth="1"/>
    <col min="11783" max="11783" width="1" customWidth="1"/>
    <col min="11784" max="11784" width="15.125" customWidth="1"/>
    <col min="11785" max="11785" width="18.125" customWidth="1"/>
    <col min="12022" max="12022" width="10.375" customWidth="1"/>
    <col min="12023" max="12023" width="20.75" customWidth="1"/>
    <col min="12024" max="12024" width="4.25" customWidth="1"/>
    <col min="12025" max="12025" width="4.375" customWidth="1"/>
    <col min="12026" max="12026" width="3.375" customWidth="1"/>
    <col min="12027" max="12027" width="2.25" customWidth="1"/>
    <col min="12028" max="12028" width="2.75" customWidth="1"/>
    <col min="12029" max="12029" width="3" customWidth="1"/>
    <col min="12030" max="12030" width="4" customWidth="1"/>
    <col min="12031" max="12031" width="6.75" customWidth="1"/>
    <col min="12032" max="12032" width="12.25" customWidth="1"/>
    <col min="12033" max="12033" width="11.875" customWidth="1"/>
    <col min="12034" max="12034" width="4.375" customWidth="1"/>
    <col min="12035" max="12035" width="4" customWidth="1"/>
    <col min="12036" max="12036" width="3.625" customWidth="1"/>
    <col min="12037" max="12037" width="20.125" customWidth="1"/>
    <col min="12038" max="12038" width="17.875" customWidth="1"/>
    <col min="12039" max="12039" width="1" customWidth="1"/>
    <col min="12040" max="12040" width="15.125" customWidth="1"/>
    <col min="12041" max="12041" width="18.125" customWidth="1"/>
    <col min="12278" max="12278" width="10.375" customWidth="1"/>
    <col min="12279" max="12279" width="20.75" customWidth="1"/>
    <col min="12280" max="12280" width="4.25" customWidth="1"/>
    <col min="12281" max="12281" width="4.375" customWidth="1"/>
    <col min="12282" max="12282" width="3.375" customWidth="1"/>
    <col min="12283" max="12283" width="2.25" customWidth="1"/>
    <col min="12284" max="12284" width="2.75" customWidth="1"/>
    <col min="12285" max="12285" width="3" customWidth="1"/>
    <col min="12286" max="12286" width="4" customWidth="1"/>
    <col min="12287" max="12287" width="6.75" customWidth="1"/>
    <col min="12288" max="12288" width="12.25" customWidth="1"/>
    <col min="12289" max="12289" width="11.875" customWidth="1"/>
    <col min="12290" max="12290" width="4.375" customWidth="1"/>
    <col min="12291" max="12291" width="4" customWidth="1"/>
    <col min="12292" max="12292" width="3.625" customWidth="1"/>
    <col min="12293" max="12293" width="20.125" customWidth="1"/>
    <col min="12294" max="12294" width="17.875" customWidth="1"/>
    <col min="12295" max="12295" width="1" customWidth="1"/>
    <col min="12296" max="12296" width="15.125" customWidth="1"/>
    <col min="12297" max="12297" width="18.125" customWidth="1"/>
    <col min="12534" max="12534" width="10.375" customWidth="1"/>
    <col min="12535" max="12535" width="20.75" customWidth="1"/>
    <col min="12536" max="12536" width="4.25" customWidth="1"/>
    <col min="12537" max="12537" width="4.375" customWidth="1"/>
    <col min="12538" max="12538" width="3.375" customWidth="1"/>
    <col min="12539" max="12539" width="2.25" customWidth="1"/>
    <col min="12540" max="12540" width="2.75" customWidth="1"/>
    <col min="12541" max="12541" width="3" customWidth="1"/>
    <col min="12542" max="12542" width="4" customWidth="1"/>
    <col min="12543" max="12543" width="6.75" customWidth="1"/>
    <col min="12544" max="12544" width="12.25" customWidth="1"/>
    <col min="12545" max="12545" width="11.875" customWidth="1"/>
    <col min="12546" max="12546" width="4.375" customWidth="1"/>
    <col min="12547" max="12547" width="4" customWidth="1"/>
    <col min="12548" max="12548" width="3.625" customWidth="1"/>
    <col min="12549" max="12549" width="20.125" customWidth="1"/>
    <col min="12550" max="12550" width="17.875" customWidth="1"/>
    <col min="12551" max="12551" width="1" customWidth="1"/>
    <col min="12552" max="12552" width="15.125" customWidth="1"/>
    <col min="12553" max="12553" width="18.125" customWidth="1"/>
    <col min="12790" max="12790" width="10.375" customWidth="1"/>
    <col min="12791" max="12791" width="20.75" customWidth="1"/>
    <col min="12792" max="12792" width="4.25" customWidth="1"/>
    <col min="12793" max="12793" width="4.375" customWidth="1"/>
    <col min="12794" max="12794" width="3.375" customWidth="1"/>
    <col min="12795" max="12795" width="2.25" customWidth="1"/>
    <col min="12796" max="12796" width="2.75" customWidth="1"/>
    <col min="12797" max="12797" width="3" customWidth="1"/>
    <col min="12798" max="12798" width="4" customWidth="1"/>
    <col min="12799" max="12799" width="6.75" customWidth="1"/>
    <col min="12800" max="12800" width="12.25" customWidth="1"/>
    <col min="12801" max="12801" width="11.875" customWidth="1"/>
    <col min="12802" max="12802" width="4.375" customWidth="1"/>
    <col min="12803" max="12803" width="4" customWidth="1"/>
    <col min="12804" max="12804" width="3.625" customWidth="1"/>
    <col min="12805" max="12805" width="20.125" customWidth="1"/>
    <col min="12806" max="12806" width="17.875" customWidth="1"/>
    <col min="12807" max="12807" width="1" customWidth="1"/>
    <col min="12808" max="12808" width="15.125" customWidth="1"/>
    <col min="12809" max="12809" width="18.125" customWidth="1"/>
    <col min="13046" max="13046" width="10.375" customWidth="1"/>
    <col min="13047" max="13047" width="20.75" customWidth="1"/>
    <col min="13048" max="13048" width="4.25" customWidth="1"/>
    <col min="13049" max="13049" width="4.375" customWidth="1"/>
    <col min="13050" max="13050" width="3.375" customWidth="1"/>
    <col min="13051" max="13051" width="2.25" customWidth="1"/>
    <col min="13052" max="13052" width="2.75" customWidth="1"/>
    <col min="13053" max="13053" width="3" customWidth="1"/>
    <col min="13054" max="13054" width="4" customWidth="1"/>
    <col min="13055" max="13055" width="6.75" customWidth="1"/>
    <col min="13056" max="13056" width="12.25" customWidth="1"/>
    <col min="13057" max="13057" width="11.875" customWidth="1"/>
    <col min="13058" max="13058" width="4.375" customWidth="1"/>
    <col min="13059" max="13059" width="4" customWidth="1"/>
    <col min="13060" max="13060" width="3.625" customWidth="1"/>
    <col min="13061" max="13061" width="20.125" customWidth="1"/>
    <col min="13062" max="13062" width="17.875" customWidth="1"/>
    <col min="13063" max="13063" width="1" customWidth="1"/>
    <col min="13064" max="13064" width="15.125" customWidth="1"/>
    <col min="13065" max="13065" width="18.125" customWidth="1"/>
    <col min="13302" max="13302" width="10.375" customWidth="1"/>
    <col min="13303" max="13303" width="20.75" customWidth="1"/>
    <col min="13304" max="13304" width="4.25" customWidth="1"/>
    <col min="13305" max="13305" width="4.375" customWidth="1"/>
    <col min="13306" max="13306" width="3.375" customWidth="1"/>
    <col min="13307" max="13307" width="2.25" customWidth="1"/>
    <col min="13308" max="13308" width="2.75" customWidth="1"/>
    <col min="13309" max="13309" width="3" customWidth="1"/>
    <col min="13310" max="13310" width="4" customWidth="1"/>
    <col min="13311" max="13311" width="6.75" customWidth="1"/>
    <col min="13312" max="13312" width="12.25" customWidth="1"/>
    <col min="13313" max="13313" width="11.875" customWidth="1"/>
    <col min="13314" max="13314" width="4.375" customWidth="1"/>
    <col min="13315" max="13315" width="4" customWidth="1"/>
    <col min="13316" max="13316" width="3.625" customWidth="1"/>
    <col min="13317" max="13317" width="20.125" customWidth="1"/>
    <col min="13318" max="13318" width="17.875" customWidth="1"/>
    <col min="13319" max="13319" width="1" customWidth="1"/>
    <col min="13320" max="13320" width="15.125" customWidth="1"/>
    <col min="13321" max="13321" width="18.125" customWidth="1"/>
    <col min="13558" max="13558" width="10.375" customWidth="1"/>
    <col min="13559" max="13559" width="20.75" customWidth="1"/>
    <col min="13560" max="13560" width="4.25" customWidth="1"/>
    <col min="13561" max="13561" width="4.375" customWidth="1"/>
    <col min="13562" max="13562" width="3.375" customWidth="1"/>
    <col min="13563" max="13563" width="2.25" customWidth="1"/>
    <col min="13564" max="13564" width="2.75" customWidth="1"/>
    <col min="13565" max="13565" width="3" customWidth="1"/>
    <col min="13566" max="13566" width="4" customWidth="1"/>
    <col min="13567" max="13567" width="6.75" customWidth="1"/>
    <col min="13568" max="13568" width="12.25" customWidth="1"/>
    <col min="13569" max="13569" width="11.875" customWidth="1"/>
    <col min="13570" max="13570" width="4.375" customWidth="1"/>
    <col min="13571" max="13571" width="4" customWidth="1"/>
    <col min="13572" max="13572" width="3.625" customWidth="1"/>
    <col min="13573" max="13573" width="20.125" customWidth="1"/>
    <col min="13574" max="13574" width="17.875" customWidth="1"/>
    <col min="13575" max="13575" width="1" customWidth="1"/>
    <col min="13576" max="13576" width="15.125" customWidth="1"/>
    <col min="13577" max="13577" width="18.125" customWidth="1"/>
    <col min="13814" max="13814" width="10.375" customWidth="1"/>
    <col min="13815" max="13815" width="20.75" customWidth="1"/>
    <col min="13816" max="13816" width="4.25" customWidth="1"/>
    <col min="13817" max="13817" width="4.375" customWidth="1"/>
    <col min="13818" max="13818" width="3.375" customWidth="1"/>
    <col min="13819" max="13819" width="2.25" customWidth="1"/>
    <col min="13820" max="13820" width="2.75" customWidth="1"/>
    <col min="13821" max="13821" width="3" customWidth="1"/>
    <col min="13822" max="13822" width="4" customWidth="1"/>
    <col min="13823" max="13823" width="6.75" customWidth="1"/>
    <col min="13824" max="13824" width="12.25" customWidth="1"/>
    <col min="13825" max="13825" width="11.875" customWidth="1"/>
    <col min="13826" max="13826" width="4.375" customWidth="1"/>
    <col min="13827" max="13827" width="4" customWidth="1"/>
    <col min="13828" max="13828" width="3.625" customWidth="1"/>
    <col min="13829" max="13829" width="20.125" customWidth="1"/>
    <col min="13830" max="13830" width="17.875" customWidth="1"/>
    <col min="13831" max="13831" width="1" customWidth="1"/>
    <col min="13832" max="13832" width="15.125" customWidth="1"/>
    <col min="13833" max="13833" width="18.125" customWidth="1"/>
    <col min="14070" max="14070" width="10.375" customWidth="1"/>
    <col min="14071" max="14071" width="20.75" customWidth="1"/>
    <col min="14072" max="14072" width="4.25" customWidth="1"/>
    <col min="14073" max="14073" width="4.375" customWidth="1"/>
    <col min="14074" max="14074" width="3.375" customWidth="1"/>
    <col min="14075" max="14075" width="2.25" customWidth="1"/>
    <col min="14076" max="14076" width="2.75" customWidth="1"/>
    <col min="14077" max="14077" width="3" customWidth="1"/>
    <col min="14078" max="14078" width="4" customWidth="1"/>
    <col min="14079" max="14079" width="6.75" customWidth="1"/>
    <col min="14080" max="14080" width="12.25" customWidth="1"/>
    <col min="14081" max="14081" width="11.875" customWidth="1"/>
    <col min="14082" max="14082" width="4.375" customWidth="1"/>
    <col min="14083" max="14083" width="4" customWidth="1"/>
    <col min="14084" max="14084" width="3.625" customWidth="1"/>
    <col min="14085" max="14085" width="20.125" customWidth="1"/>
    <col min="14086" max="14086" width="17.875" customWidth="1"/>
    <col min="14087" max="14087" width="1" customWidth="1"/>
    <col min="14088" max="14088" width="15.125" customWidth="1"/>
    <col min="14089" max="14089" width="18.125" customWidth="1"/>
    <col min="14326" max="14326" width="10.375" customWidth="1"/>
    <col min="14327" max="14327" width="20.75" customWidth="1"/>
    <col min="14328" max="14328" width="4.25" customWidth="1"/>
    <col min="14329" max="14329" width="4.375" customWidth="1"/>
    <col min="14330" max="14330" width="3.375" customWidth="1"/>
    <col min="14331" max="14331" width="2.25" customWidth="1"/>
    <col min="14332" max="14332" width="2.75" customWidth="1"/>
    <col min="14333" max="14333" width="3" customWidth="1"/>
    <col min="14334" max="14334" width="4" customWidth="1"/>
    <col min="14335" max="14335" width="6.75" customWidth="1"/>
    <col min="14336" max="14336" width="12.25" customWidth="1"/>
    <col min="14337" max="14337" width="11.875" customWidth="1"/>
    <col min="14338" max="14338" width="4.375" customWidth="1"/>
    <col min="14339" max="14339" width="4" customWidth="1"/>
    <col min="14340" max="14340" width="3.625" customWidth="1"/>
    <col min="14341" max="14341" width="20.125" customWidth="1"/>
    <col min="14342" max="14342" width="17.875" customWidth="1"/>
    <col min="14343" max="14343" width="1" customWidth="1"/>
    <col min="14344" max="14344" width="15.125" customWidth="1"/>
    <col min="14345" max="14345" width="18.125" customWidth="1"/>
    <col min="14582" max="14582" width="10.375" customWidth="1"/>
    <col min="14583" max="14583" width="20.75" customWidth="1"/>
    <col min="14584" max="14584" width="4.25" customWidth="1"/>
    <col min="14585" max="14585" width="4.375" customWidth="1"/>
    <col min="14586" max="14586" width="3.375" customWidth="1"/>
    <col min="14587" max="14587" width="2.25" customWidth="1"/>
    <col min="14588" max="14588" width="2.75" customWidth="1"/>
    <col min="14589" max="14589" width="3" customWidth="1"/>
    <col min="14590" max="14590" width="4" customWidth="1"/>
    <col min="14591" max="14591" width="6.75" customWidth="1"/>
    <col min="14592" max="14592" width="12.25" customWidth="1"/>
    <col min="14593" max="14593" width="11.875" customWidth="1"/>
    <col min="14594" max="14594" width="4.375" customWidth="1"/>
    <col min="14595" max="14595" width="4" customWidth="1"/>
    <col min="14596" max="14596" width="3.625" customWidth="1"/>
    <col min="14597" max="14597" width="20.125" customWidth="1"/>
    <col min="14598" max="14598" width="17.875" customWidth="1"/>
    <col min="14599" max="14599" width="1" customWidth="1"/>
    <col min="14600" max="14600" width="15.125" customWidth="1"/>
    <col min="14601" max="14601" width="18.125" customWidth="1"/>
    <col min="14838" max="14838" width="10.375" customWidth="1"/>
    <col min="14839" max="14839" width="20.75" customWidth="1"/>
    <col min="14840" max="14840" width="4.25" customWidth="1"/>
    <col min="14841" max="14841" width="4.375" customWidth="1"/>
    <col min="14842" max="14842" width="3.375" customWidth="1"/>
    <col min="14843" max="14843" width="2.25" customWidth="1"/>
    <col min="14844" max="14844" width="2.75" customWidth="1"/>
    <col min="14845" max="14845" width="3" customWidth="1"/>
    <col min="14846" max="14846" width="4" customWidth="1"/>
    <col min="14847" max="14847" width="6.75" customWidth="1"/>
    <col min="14848" max="14848" width="12.25" customWidth="1"/>
    <col min="14849" max="14849" width="11.875" customWidth="1"/>
    <col min="14850" max="14850" width="4.375" customWidth="1"/>
    <col min="14851" max="14851" width="4" customWidth="1"/>
    <col min="14852" max="14852" width="3.625" customWidth="1"/>
    <col min="14853" max="14853" width="20.125" customWidth="1"/>
    <col min="14854" max="14854" width="17.875" customWidth="1"/>
    <col min="14855" max="14855" width="1" customWidth="1"/>
    <col min="14856" max="14856" width="15.125" customWidth="1"/>
    <col min="14857" max="14857" width="18.125" customWidth="1"/>
    <col min="15094" max="15094" width="10.375" customWidth="1"/>
    <col min="15095" max="15095" width="20.75" customWidth="1"/>
    <col min="15096" max="15096" width="4.25" customWidth="1"/>
    <col min="15097" max="15097" width="4.375" customWidth="1"/>
    <col min="15098" max="15098" width="3.375" customWidth="1"/>
    <col min="15099" max="15099" width="2.25" customWidth="1"/>
    <col min="15100" max="15100" width="2.75" customWidth="1"/>
    <col min="15101" max="15101" width="3" customWidth="1"/>
    <col min="15102" max="15102" width="4" customWidth="1"/>
    <col min="15103" max="15103" width="6.75" customWidth="1"/>
    <col min="15104" max="15104" width="12.25" customWidth="1"/>
    <col min="15105" max="15105" width="11.875" customWidth="1"/>
    <col min="15106" max="15106" width="4.375" customWidth="1"/>
    <col min="15107" max="15107" width="4" customWidth="1"/>
    <col min="15108" max="15108" width="3.625" customWidth="1"/>
    <col min="15109" max="15109" width="20.125" customWidth="1"/>
    <col min="15110" max="15110" width="17.875" customWidth="1"/>
    <col min="15111" max="15111" width="1" customWidth="1"/>
    <col min="15112" max="15112" width="15.125" customWidth="1"/>
    <col min="15113" max="15113" width="18.125" customWidth="1"/>
    <col min="15350" max="15350" width="10.375" customWidth="1"/>
    <col min="15351" max="15351" width="20.75" customWidth="1"/>
    <col min="15352" max="15352" width="4.25" customWidth="1"/>
    <col min="15353" max="15353" width="4.375" customWidth="1"/>
    <col min="15354" max="15354" width="3.375" customWidth="1"/>
    <col min="15355" max="15355" width="2.25" customWidth="1"/>
    <col min="15356" max="15356" width="2.75" customWidth="1"/>
    <col min="15357" max="15357" width="3" customWidth="1"/>
    <col min="15358" max="15358" width="4" customWidth="1"/>
    <col min="15359" max="15359" width="6.75" customWidth="1"/>
    <col min="15360" max="15360" width="12.25" customWidth="1"/>
    <col min="15361" max="15361" width="11.875" customWidth="1"/>
    <col min="15362" max="15362" width="4.375" customWidth="1"/>
    <col min="15363" max="15363" width="4" customWidth="1"/>
    <col min="15364" max="15364" width="3.625" customWidth="1"/>
    <col min="15365" max="15365" width="20.125" customWidth="1"/>
    <col min="15366" max="15366" width="17.875" customWidth="1"/>
    <col min="15367" max="15367" width="1" customWidth="1"/>
    <col min="15368" max="15368" width="15.125" customWidth="1"/>
    <col min="15369" max="15369" width="18.125" customWidth="1"/>
    <col min="15606" max="15606" width="10.375" customWidth="1"/>
    <col min="15607" max="15607" width="20.75" customWidth="1"/>
    <col min="15608" max="15608" width="4.25" customWidth="1"/>
    <col min="15609" max="15609" width="4.375" customWidth="1"/>
    <col min="15610" max="15610" width="3.375" customWidth="1"/>
    <col min="15611" max="15611" width="2.25" customWidth="1"/>
    <col min="15612" max="15612" width="2.75" customWidth="1"/>
    <col min="15613" max="15613" width="3" customWidth="1"/>
    <col min="15614" max="15614" width="4" customWidth="1"/>
    <col min="15615" max="15615" width="6.75" customWidth="1"/>
    <col min="15616" max="15616" width="12.25" customWidth="1"/>
    <col min="15617" max="15617" width="11.875" customWidth="1"/>
    <col min="15618" max="15618" width="4.375" customWidth="1"/>
    <col min="15619" max="15619" width="4" customWidth="1"/>
    <col min="15620" max="15620" width="3.625" customWidth="1"/>
    <col min="15621" max="15621" width="20.125" customWidth="1"/>
    <col min="15622" max="15622" width="17.875" customWidth="1"/>
    <col min="15623" max="15623" width="1" customWidth="1"/>
    <col min="15624" max="15624" width="15.125" customWidth="1"/>
    <col min="15625" max="15625" width="18.125" customWidth="1"/>
    <col min="15862" max="15862" width="10.375" customWidth="1"/>
    <col min="15863" max="15863" width="20.75" customWidth="1"/>
    <col min="15864" max="15864" width="4.25" customWidth="1"/>
    <col min="15865" max="15865" width="4.375" customWidth="1"/>
    <col min="15866" max="15866" width="3.375" customWidth="1"/>
    <col min="15867" max="15867" width="2.25" customWidth="1"/>
    <col min="15868" max="15868" width="2.75" customWidth="1"/>
    <col min="15869" max="15869" width="3" customWidth="1"/>
    <col min="15870" max="15870" width="4" customWidth="1"/>
    <col min="15871" max="15871" width="6.75" customWidth="1"/>
    <col min="15872" max="15872" width="12.25" customWidth="1"/>
    <col min="15873" max="15873" width="11.875" customWidth="1"/>
    <col min="15874" max="15874" width="4.375" customWidth="1"/>
    <col min="15875" max="15875" width="4" customWidth="1"/>
    <col min="15876" max="15876" width="3.625" customWidth="1"/>
    <col min="15877" max="15877" width="20.125" customWidth="1"/>
    <col min="15878" max="15878" width="17.875" customWidth="1"/>
    <col min="15879" max="15879" width="1" customWidth="1"/>
    <col min="15880" max="15880" width="15.125" customWidth="1"/>
    <col min="15881" max="15881" width="18.125" customWidth="1"/>
    <col min="16118" max="16118" width="10.375" customWidth="1"/>
    <col min="16119" max="16119" width="20.75" customWidth="1"/>
    <col min="16120" max="16120" width="4.25" customWidth="1"/>
    <col min="16121" max="16121" width="4.375" customWidth="1"/>
    <col min="16122" max="16122" width="3.375" customWidth="1"/>
    <col min="16123" max="16123" width="2.25" customWidth="1"/>
    <col min="16124" max="16124" width="2.75" customWidth="1"/>
    <col min="16125" max="16125" width="3" customWidth="1"/>
    <col min="16126" max="16126" width="4" customWidth="1"/>
    <col min="16127" max="16127" width="6.75" customWidth="1"/>
    <col min="16128" max="16128" width="12.25" customWidth="1"/>
    <col min="16129" max="16129" width="11.875" customWidth="1"/>
    <col min="16130" max="16130" width="4.375" customWidth="1"/>
    <col min="16131" max="16131" width="4" customWidth="1"/>
    <col min="16132" max="16132" width="3.625" customWidth="1"/>
    <col min="16133" max="16133" width="20.125" customWidth="1"/>
    <col min="16134" max="16134" width="17.875" customWidth="1"/>
    <col min="16135" max="16135" width="1" customWidth="1"/>
    <col min="16136" max="16136" width="15.125" customWidth="1"/>
    <col min="16137" max="16137" width="18.125" customWidth="1"/>
  </cols>
  <sheetData>
    <row r="1" spans="1:32" s="106" customFormat="1" ht="9.9499999999999993" customHeight="1"/>
    <row r="2" spans="1:32" s="106" customFormat="1" ht="18" customHeight="1">
      <c r="A2" s="343" t="s">
        <v>438</v>
      </c>
      <c r="B2" s="343"/>
      <c r="C2" s="343"/>
      <c r="D2" s="343"/>
      <c r="E2" s="343"/>
      <c r="F2" s="343"/>
      <c r="G2" s="343"/>
      <c r="H2" s="343"/>
      <c r="I2" s="343"/>
      <c r="J2" s="343"/>
      <c r="K2" s="343"/>
      <c r="L2" s="343"/>
    </row>
    <row r="3" spans="1:32" s="106" customFormat="1" ht="9.9499999999999993" customHeight="1">
      <c r="A3" s="343"/>
      <c r="B3" s="343"/>
      <c r="C3" s="343"/>
      <c r="D3" s="343"/>
      <c r="E3" s="343"/>
      <c r="F3" s="343"/>
      <c r="G3" s="343"/>
      <c r="H3" s="343"/>
      <c r="I3" s="343"/>
      <c r="J3" s="343"/>
      <c r="K3" s="343"/>
      <c r="L3" s="343"/>
    </row>
    <row r="4" spans="1:32" s="106" customFormat="1" ht="13.5" customHeight="1">
      <c r="J4" s="107"/>
    </row>
    <row r="5" spans="1:32" s="106" customFormat="1" ht="19.5" customHeight="1">
      <c r="A5" s="108" t="s">
        <v>439</v>
      </c>
      <c r="B5" s="109" t="s">
        <v>440</v>
      </c>
      <c r="C5" s="336" t="s">
        <v>441</v>
      </c>
      <c r="D5" s="336"/>
      <c r="E5" s="336"/>
      <c r="F5" s="336"/>
      <c r="G5" s="110"/>
      <c r="H5" s="110"/>
      <c r="I5" s="110"/>
      <c r="J5" s="107"/>
      <c r="K5" s="336" t="s">
        <v>442</v>
      </c>
      <c r="L5" s="336"/>
    </row>
    <row r="6" spans="1:32" s="106" customFormat="1" ht="20.25" customHeight="1">
      <c r="A6" s="108" t="s">
        <v>443</v>
      </c>
      <c r="B6" s="109" t="s">
        <v>444</v>
      </c>
      <c r="C6" s="336" t="s">
        <v>445</v>
      </c>
      <c r="D6" s="336"/>
      <c r="E6" s="336"/>
      <c r="F6" s="336"/>
      <c r="G6" s="110"/>
      <c r="H6" s="110"/>
      <c r="I6" s="110"/>
      <c r="J6" s="107"/>
      <c r="K6" s="104" t="s">
        <v>1202</v>
      </c>
      <c r="L6" s="111" t="s">
        <v>468</v>
      </c>
    </row>
    <row r="7" spans="1:32" s="106" customFormat="1" ht="19.5" customHeight="1">
      <c r="A7" s="108" t="s">
        <v>446</v>
      </c>
      <c r="B7" s="109" t="s">
        <v>447</v>
      </c>
      <c r="C7" s="336" t="s">
        <v>448</v>
      </c>
      <c r="D7" s="336"/>
      <c r="E7" s="336"/>
      <c r="F7" s="336"/>
      <c r="G7" s="336" t="s">
        <v>449</v>
      </c>
      <c r="H7" s="336"/>
      <c r="I7" s="337"/>
      <c r="J7" s="107"/>
      <c r="K7" s="336" t="s">
        <v>450</v>
      </c>
      <c r="L7" s="336"/>
    </row>
    <row r="8" spans="1:32" s="106" customFormat="1" ht="19.5" customHeight="1">
      <c r="A8" s="112" t="s">
        <v>451</v>
      </c>
      <c r="B8" s="109"/>
      <c r="C8" s="336"/>
      <c r="D8" s="336"/>
      <c r="E8" s="336"/>
      <c r="F8" s="336"/>
      <c r="G8" s="336" t="s">
        <v>452</v>
      </c>
      <c r="H8" s="336"/>
      <c r="I8" s="337"/>
      <c r="J8" s="107"/>
      <c r="K8" s="105" t="s">
        <v>1202</v>
      </c>
      <c r="L8" s="113" t="s">
        <v>469</v>
      </c>
    </row>
    <row r="9" spans="1:32" s="106" customFormat="1" ht="19.5" customHeight="1">
      <c r="A9" s="108" t="s">
        <v>453</v>
      </c>
      <c r="B9" s="338" t="s">
        <v>454</v>
      </c>
      <c r="C9" s="339"/>
      <c r="D9" s="339"/>
      <c r="E9" s="339"/>
      <c r="F9" s="339"/>
      <c r="G9" s="339"/>
      <c r="H9" s="339"/>
      <c r="I9" s="340"/>
      <c r="J9" s="107"/>
      <c r="K9" s="341" t="s">
        <v>455</v>
      </c>
      <c r="L9" s="341"/>
    </row>
    <row r="10" spans="1:32" s="106" customFormat="1" ht="20.25" customHeight="1">
      <c r="A10" s="114" t="s">
        <v>456</v>
      </c>
      <c r="B10" s="331"/>
      <c r="C10" s="342"/>
      <c r="D10" s="342"/>
      <c r="E10" s="342"/>
      <c r="F10" s="342"/>
      <c r="G10" s="342"/>
      <c r="H10" s="342"/>
      <c r="I10" s="342"/>
      <c r="J10" s="107"/>
      <c r="K10" s="336"/>
      <c r="L10" s="336"/>
    </row>
    <row r="11" spans="1:32" s="106" customFormat="1" ht="21" customHeight="1">
      <c r="C11" s="355"/>
      <c r="D11" s="355"/>
      <c r="E11" s="355"/>
      <c r="F11" s="355"/>
      <c r="G11" s="355"/>
      <c r="H11" s="355"/>
      <c r="I11" s="355"/>
      <c r="J11" s="107"/>
      <c r="K11" s="356"/>
      <c r="L11" s="356"/>
    </row>
    <row r="12" spans="1:32" s="106" customFormat="1" ht="19.5" customHeight="1">
      <c r="A12" s="115" t="s">
        <v>457</v>
      </c>
      <c r="B12" s="18" t="s">
        <v>458</v>
      </c>
      <c r="C12" s="357" t="s">
        <v>459</v>
      </c>
      <c r="D12" s="358"/>
      <c r="E12" s="358"/>
      <c r="F12" s="358"/>
      <c r="G12" s="358"/>
      <c r="H12" s="358"/>
      <c r="I12" s="359"/>
      <c r="J12" s="117" t="s">
        <v>460</v>
      </c>
      <c r="K12" s="118" t="s">
        <v>461</v>
      </c>
      <c r="L12" s="117" t="s">
        <v>462</v>
      </c>
      <c r="N12" s="307" t="s">
        <v>363</v>
      </c>
      <c r="O12" s="308"/>
      <c r="P12" s="15" t="s">
        <v>50</v>
      </c>
      <c r="Q12" s="15" t="s">
        <v>48</v>
      </c>
      <c r="R12" s="24"/>
      <c r="S12" s="24"/>
      <c r="T12" s="15"/>
      <c r="U12" s="15"/>
      <c r="V12" s="15" t="s">
        <v>50</v>
      </c>
      <c r="W12" s="15" t="s">
        <v>307</v>
      </c>
      <c r="X12" s="15" t="s">
        <v>48</v>
      </c>
      <c r="Y12" s="299" t="s">
        <v>302</v>
      </c>
      <c r="Z12" s="300"/>
      <c r="AA12" s="300"/>
      <c r="AB12" s="24"/>
      <c r="AC12" s="24"/>
      <c r="AD12" s="24"/>
      <c r="AE12" s="24"/>
      <c r="AF12" s="24"/>
    </row>
    <row r="13" spans="1:32" s="106" customFormat="1" ht="20.100000000000001" customHeight="1">
      <c r="A13" s="119"/>
      <c r="B13" s="120" t="str">
        <f>('修　理'!B22:C22)&amp;""</f>
        <v/>
      </c>
      <c r="C13" s="333" t="str">
        <f>('修　理'!D22)&amp;""</f>
        <v/>
      </c>
      <c r="D13" s="334"/>
      <c r="E13" s="334"/>
      <c r="F13" s="334"/>
      <c r="G13" s="334"/>
      <c r="H13" s="334"/>
      <c r="I13" s="335"/>
      <c r="J13" s="121"/>
      <c r="K13" s="122" t="e">
        <f>VLOOKUP(B13,'[1]オイレス価格表24．11'!$A$4:$F$831,3,0)</f>
        <v>#N/A</v>
      </c>
      <c r="L13" s="123" t="e">
        <f>J13*K13</f>
        <v>#N/A</v>
      </c>
      <c r="N13" s="207" t="s">
        <v>817</v>
      </c>
      <c r="O13" s="208" t="s">
        <v>103</v>
      </c>
      <c r="P13" s="38"/>
      <c r="Q13" s="44"/>
      <c r="R13" s="259" t="s">
        <v>853</v>
      </c>
      <c r="S13" s="260"/>
      <c r="T13" s="257" t="s">
        <v>150</v>
      </c>
      <c r="U13" s="258"/>
      <c r="V13" s="38"/>
      <c r="W13" s="38"/>
      <c r="X13" s="38"/>
      <c r="Y13" s="255"/>
      <c r="Z13" s="272"/>
      <c r="AA13" s="257"/>
      <c r="AB13" s="258"/>
      <c r="AC13" s="61" t="s">
        <v>330</v>
      </c>
      <c r="AD13" s="61" t="s">
        <v>50</v>
      </c>
      <c r="AE13" s="62"/>
      <c r="AF13" s="61" t="s">
        <v>48</v>
      </c>
    </row>
    <row r="14" spans="1:32" s="106" customFormat="1" ht="20.100000000000001" customHeight="1">
      <c r="A14" s="119"/>
      <c r="B14" s="120" t="str">
        <f>('修　理'!B23:C23)&amp;""</f>
        <v/>
      </c>
      <c r="C14" s="333" t="str">
        <f>('修　理'!D23)&amp;""</f>
        <v/>
      </c>
      <c r="D14" s="334"/>
      <c r="E14" s="334"/>
      <c r="F14" s="334"/>
      <c r="G14" s="334"/>
      <c r="H14" s="334"/>
      <c r="I14" s="335"/>
      <c r="J14" s="121"/>
      <c r="K14" s="122" t="e">
        <f>VLOOKUP(B14,'[1]オイレス価格表24．11'!$A$4:$F$831,3,0)</f>
        <v>#N/A</v>
      </c>
      <c r="L14" s="123" t="e">
        <f t="shared" ref="L14:L32" si="0">J14*K14</f>
        <v>#N/A</v>
      </c>
      <c r="N14" s="207" t="s">
        <v>819</v>
      </c>
      <c r="O14" s="208" t="s">
        <v>105</v>
      </c>
      <c r="P14" s="38"/>
      <c r="Q14" s="38"/>
      <c r="R14" s="259" t="s">
        <v>854</v>
      </c>
      <c r="S14" s="260"/>
      <c r="T14" s="257" t="s">
        <v>416</v>
      </c>
      <c r="U14" s="258"/>
      <c r="V14" s="38"/>
      <c r="W14" s="38"/>
      <c r="X14" s="38"/>
      <c r="Y14" s="291" t="s">
        <v>328</v>
      </c>
      <c r="Z14" s="263"/>
      <c r="AA14" s="257" t="s">
        <v>329</v>
      </c>
      <c r="AB14" s="258"/>
      <c r="AC14" s="38">
        <v>5850</v>
      </c>
      <c r="AD14" s="38"/>
      <c r="AE14" s="38"/>
      <c r="AF14" s="38">
        <v>10000</v>
      </c>
    </row>
    <row r="15" spans="1:32" s="106" customFormat="1" ht="20.100000000000001" customHeight="1">
      <c r="A15" s="119"/>
      <c r="B15" s="120" t="str">
        <f>('修　理'!B24:C24)&amp;""</f>
        <v/>
      </c>
      <c r="C15" s="333" t="str">
        <f>('修　理'!D24)&amp;""</f>
        <v/>
      </c>
      <c r="D15" s="334"/>
      <c r="E15" s="334"/>
      <c r="F15" s="334"/>
      <c r="G15" s="334"/>
      <c r="H15" s="334"/>
      <c r="I15" s="335"/>
      <c r="J15" s="121"/>
      <c r="K15" s="122" t="e">
        <f>VLOOKUP(B15,'[1]オイレス価格表24．11'!$A$4:$F$831,3,0)</f>
        <v>#N/A</v>
      </c>
      <c r="L15" s="123" t="e">
        <f t="shared" si="0"/>
        <v>#N/A</v>
      </c>
      <c r="N15" s="206" t="s">
        <v>866</v>
      </c>
      <c r="O15" s="208" t="s">
        <v>37</v>
      </c>
      <c r="P15" s="38"/>
      <c r="Q15" s="38"/>
      <c r="R15" s="259" t="s">
        <v>867</v>
      </c>
      <c r="S15" s="260"/>
      <c r="T15" s="257" t="s">
        <v>417</v>
      </c>
      <c r="U15" s="258"/>
      <c r="V15" s="38"/>
      <c r="W15" s="38"/>
      <c r="X15" s="38"/>
      <c r="Y15" s="291" t="s">
        <v>333</v>
      </c>
      <c r="Z15" s="263"/>
      <c r="AA15" s="257" t="s">
        <v>334</v>
      </c>
      <c r="AB15" s="258"/>
      <c r="AC15" s="38">
        <v>3850</v>
      </c>
      <c r="AD15" s="38"/>
      <c r="AE15" s="38"/>
      <c r="AF15" s="38"/>
    </row>
    <row r="16" spans="1:32" s="106" customFormat="1" ht="20.100000000000001" customHeight="1">
      <c r="A16" s="119"/>
      <c r="B16" s="120" t="str">
        <f>('修　理'!B25:C25)&amp;""</f>
        <v/>
      </c>
      <c r="C16" s="333" t="str">
        <f>('修　理'!D25)&amp;""</f>
        <v/>
      </c>
      <c r="D16" s="334"/>
      <c r="E16" s="334"/>
      <c r="F16" s="334"/>
      <c r="G16" s="334"/>
      <c r="H16" s="334"/>
      <c r="I16" s="335"/>
      <c r="J16" s="121"/>
      <c r="K16" s="122" t="e">
        <f>VLOOKUP(B16,'[1]オイレス価格表24．11'!$A$4:$F$831,3,0)</f>
        <v>#N/A</v>
      </c>
      <c r="L16" s="123" t="e">
        <f t="shared" si="0"/>
        <v>#N/A</v>
      </c>
      <c r="N16" s="206" t="s">
        <v>861</v>
      </c>
      <c r="O16" s="208" t="s">
        <v>176</v>
      </c>
      <c r="P16" s="38"/>
      <c r="Q16" s="38"/>
      <c r="R16" s="259" t="s">
        <v>855</v>
      </c>
      <c r="S16" s="260"/>
      <c r="T16" s="257" t="s">
        <v>171</v>
      </c>
      <c r="U16" s="258"/>
      <c r="V16" s="38"/>
      <c r="W16" s="38"/>
      <c r="X16" s="38"/>
      <c r="Y16" s="291" t="s">
        <v>335</v>
      </c>
      <c r="Z16" s="263"/>
      <c r="AA16" s="257" t="s">
        <v>329</v>
      </c>
      <c r="AB16" s="258"/>
      <c r="AC16" s="38">
        <v>8050</v>
      </c>
      <c r="AD16" s="38"/>
      <c r="AE16" s="38"/>
      <c r="AF16" s="38">
        <v>13500</v>
      </c>
    </row>
    <row r="17" spans="1:32" s="106" customFormat="1" ht="20.100000000000001" customHeight="1">
      <c r="A17" s="119"/>
      <c r="B17" s="120" t="str">
        <f>('修　理'!B26:C26)&amp;""</f>
        <v/>
      </c>
      <c r="C17" s="333" t="str">
        <f>('修　理'!D26)&amp;""</f>
        <v/>
      </c>
      <c r="D17" s="334"/>
      <c r="E17" s="334"/>
      <c r="F17" s="334"/>
      <c r="G17" s="334"/>
      <c r="H17" s="334"/>
      <c r="I17" s="335"/>
      <c r="J17" s="121"/>
      <c r="K17" s="122" t="e">
        <f>VLOOKUP(B17,'[1]オイレス価格表24．11'!$A$4:$F$831,3,0)</f>
        <v>#N/A</v>
      </c>
      <c r="L17" s="123" t="e">
        <f t="shared" si="0"/>
        <v>#N/A</v>
      </c>
      <c r="N17" s="207" t="s">
        <v>820</v>
      </c>
      <c r="O17" s="208" t="s">
        <v>103</v>
      </c>
      <c r="P17" s="38"/>
      <c r="Q17" s="38"/>
      <c r="R17" s="259" t="s">
        <v>856</v>
      </c>
      <c r="S17" s="260"/>
      <c r="T17" s="257" t="s">
        <v>172</v>
      </c>
      <c r="U17" s="258"/>
      <c r="V17" s="38"/>
      <c r="W17" s="38"/>
      <c r="X17" s="38"/>
      <c r="Y17" s="291" t="s">
        <v>336</v>
      </c>
      <c r="Z17" s="263"/>
      <c r="AA17" s="257" t="s">
        <v>334</v>
      </c>
      <c r="AB17" s="258"/>
      <c r="AC17" s="38">
        <v>4950</v>
      </c>
      <c r="AD17" s="38"/>
      <c r="AE17" s="38"/>
      <c r="AF17" s="38"/>
    </row>
    <row r="18" spans="1:32" s="106" customFormat="1" ht="20.100000000000001" customHeight="1">
      <c r="A18" s="119"/>
      <c r="B18" s="120" t="str">
        <f>('修　理'!B27:C27)&amp;""</f>
        <v/>
      </c>
      <c r="C18" s="333" t="str">
        <f>('修　理'!D27)&amp;""</f>
        <v/>
      </c>
      <c r="D18" s="334"/>
      <c r="E18" s="334"/>
      <c r="F18" s="334"/>
      <c r="G18" s="334"/>
      <c r="H18" s="334"/>
      <c r="I18" s="335"/>
      <c r="J18" s="121"/>
      <c r="K18" s="122" t="e">
        <f>VLOOKUP(B18,'[1]オイレス価格表24．11'!$A$4:$F$831,3,0)</f>
        <v>#N/A</v>
      </c>
      <c r="L18" s="123" t="e">
        <f t="shared" si="0"/>
        <v>#N/A</v>
      </c>
      <c r="N18" s="207" t="s">
        <v>821</v>
      </c>
      <c r="O18" s="208" t="s">
        <v>99</v>
      </c>
      <c r="P18" s="38"/>
      <c r="Q18" s="38"/>
      <c r="R18" s="259" t="s">
        <v>857</v>
      </c>
      <c r="S18" s="260"/>
      <c r="T18" s="257" t="s">
        <v>173</v>
      </c>
      <c r="U18" s="258"/>
      <c r="V18" s="38"/>
      <c r="W18" s="38"/>
      <c r="X18" s="38"/>
      <c r="Y18" s="291"/>
      <c r="Z18" s="292"/>
      <c r="AA18" s="257"/>
      <c r="AB18" s="258"/>
      <c r="AC18" s="38"/>
      <c r="AD18" s="38"/>
      <c r="AE18" s="38"/>
      <c r="AF18" s="38"/>
    </row>
    <row r="19" spans="1:32" s="106" customFormat="1" ht="20.100000000000001" customHeight="1">
      <c r="A19" s="119"/>
      <c r="B19" s="120" t="str">
        <f>('修　理'!B28:C28)&amp;""</f>
        <v/>
      </c>
      <c r="C19" s="333" t="str">
        <f>('修　理'!D28)&amp;""</f>
        <v/>
      </c>
      <c r="D19" s="334"/>
      <c r="E19" s="334"/>
      <c r="F19" s="334"/>
      <c r="G19" s="334"/>
      <c r="H19" s="334"/>
      <c r="I19" s="335"/>
      <c r="J19" s="121"/>
      <c r="K19" s="122" t="e">
        <f>VLOOKUP(B19,'[1]オイレス価格表24．11'!$A$4:$F$831,3,0)</f>
        <v>#N/A</v>
      </c>
      <c r="L19" s="123" t="e">
        <f t="shared" si="0"/>
        <v>#N/A</v>
      </c>
      <c r="N19" s="207" t="s">
        <v>822</v>
      </c>
      <c r="O19" s="208" t="s">
        <v>110</v>
      </c>
      <c r="P19" s="38"/>
      <c r="Q19" s="38"/>
      <c r="R19" s="259" t="s">
        <v>858</v>
      </c>
      <c r="S19" s="260"/>
      <c r="T19" s="257" t="s">
        <v>174</v>
      </c>
      <c r="U19" s="258"/>
      <c r="V19" s="38"/>
      <c r="W19" s="38"/>
      <c r="X19" s="38"/>
      <c r="Y19" s="291"/>
      <c r="Z19" s="292"/>
      <c r="AA19" s="257"/>
      <c r="AB19" s="258"/>
      <c r="AC19" s="38"/>
      <c r="AD19" s="38"/>
      <c r="AE19" s="38"/>
      <c r="AF19" s="38"/>
    </row>
    <row r="20" spans="1:32" s="106" customFormat="1" ht="20.100000000000001" customHeight="1">
      <c r="A20" s="119"/>
      <c r="B20" s="120" t="str">
        <f>('修　理'!B29:C29)&amp;""</f>
        <v/>
      </c>
      <c r="C20" s="333" t="str">
        <f>('修　理'!D29)&amp;""</f>
        <v/>
      </c>
      <c r="D20" s="334"/>
      <c r="E20" s="334"/>
      <c r="F20" s="334"/>
      <c r="G20" s="334"/>
      <c r="H20" s="334"/>
      <c r="I20" s="335"/>
      <c r="J20" s="121"/>
      <c r="K20" s="122" t="e">
        <f>VLOOKUP(B20,'[1]オイレス価格表24．11'!$A$4:$F$831,3,0)</f>
        <v>#N/A</v>
      </c>
      <c r="L20" s="123" t="e">
        <f t="shared" si="0"/>
        <v>#N/A</v>
      </c>
      <c r="N20" s="207" t="s">
        <v>823</v>
      </c>
      <c r="O20" s="208" t="s">
        <v>111</v>
      </c>
      <c r="P20" s="43"/>
      <c r="Q20" s="43"/>
      <c r="R20" s="255" t="s">
        <v>1203</v>
      </c>
      <c r="S20" s="272"/>
      <c r="T20" s="257" t="s">
        <v>362</v>
      </c>
      <c r="U20" s="258"/>
      <c r="V20" s="38"/>
      <c r="W20" s="38"/>
      <c r="X20" s="38"/>
      <c r="Y20" s="291"/>
      <c r="Z20" s="292"/>
      <c r="AA20" s="257"/>
      <c r="AB20" s="258"/>
      <c r="AC20" s="38"/>
      <c r="AD20" s="38"/>
      <c r="AE20" s="38"/>
      <c r="AF20" s="38"/>
    </row>
    <row r="21" spans="1:32" s="106" customFormat="1" ht="20.100000000000001" customHeight="1">
      <c r="A21" s="119"/>
      <c r="B21" s="120" t="str">
        <f>('修　理'!B30:C30)&amp;""</f>
        <v/>
      </c>
      <c r="C21" s="333" t="str">
        <f>('修　理'!D30)&amp;""</f>
        <v/>
      </c>
      <c r="D21" s="334"/>
      <c r="E21" s="334"/>
      <c r="F21" s="334"/>
      <c r="G21" s="334"/>
      <c r="H21" s="334"/>
      <c r="I21" s="335"/>
      <c r="J21" s="121"/>
      <c r="K21" s="122" t="e">
        <f>VLOOKUP(B21,'[1]オイレス価格表24．11'!$A$4:$F$831,3,0)</f>
        <v>#N/A</v>
      </c>
      <c r="L21" s="123" t="e">
        <f t="shared" si="0"/>
        <v>#N/A</v>
      </c>
      <c r="N21" s="207" t="s">
        <v>824</v>
      </c>
      <c r="O21" s="208" t="s">
        <v>114</v>
      </c>
      <c r="P21" s="38"/>
      <c r="Q21" s="38"/>
      <c r="R21" s="259" t="s">
        <v>859</v>
      </c>
      <c r="S21" s="260"/>
      <c r="T21" s="257" t="s">
        <v>35</v>
      </c>
      <c r="U21" s="258"/>
      <c r="V21" s="38"/>
      <c r="W21" s="38"/>
      <c r="X21" s="38"/>
      <c r="Y21" s="291"/>
      <c r="Z21" s="292"/>
      <c r="AA21" s="257"/>
      <c r="AB21" s="258"/>
      <c r="AC21" s="38"/>
      <c r="AD21" s="38"/>
      <c r="AE21" s="38"/>
      <c r="AF21" s="38"/>
    </row>
    <row r="22" spans="1:32" s="106" customFormat="1" ht="20.100000000000001" customHeight="1">
      <c r="A22" s="119"/>
      <c r="B22" s="120" t="str">
        <f>('修　理'!B31:C31)&amp;""</f>
        <v/>
      </c>
      <c r="C22" s="333" t="str">
        <f>('修　理'!D31)&amp;""</f>
        <v/>
      </c>
      <c r="D22" s="334"/>
      <c r="E22" s="334"/>
      <c r="F22" s="334"/>
      <c r="G22" s="334"/>
      <c r="H22" s="334"/>
      <c r="I22" s="335"/>
      <c r="J22" s="121"/>
      <c r="K22" s="122" t="e">
        <f>VLOOKUP(B22,'[1]オイレス価格表24．11'!$A$4:$F$831,3,0)</f>
        <v>#N/A</v>
      </c>
      <c r="L22" s="123" t="e">
        <f t="shared" si="0"/>
        <v>#N/A</v>
      </c>
      <c r="N22" s="207" t="s">
        <v>825</v>
      </c>
      <c r="O22" s="208" t="s">
        <v>115</v>
      </c>
      <c r="P22" s="38"/>
      <c r="Q22" s="38"/>
      <c r="R22" s="259" t="s">
        <v>860</v>
      </c>
      <c r="S22" s="260"/>
      <c r="T22" s="257" t="s">
        <v>175</v>
      </c>
      <c r="U22" s="258"/>
      <c r="V22" s="38"/>
      <c r="W22" s="38"/>
      <c r="X22" s="38"/>
      <c r="Y22" s="291"/>
      <c r="Z22" s="292"/>
      <c r="AA22" s="257"/>
      <c r="AB22" s="258"/>
      <c r="AC22" s="38"/>
      <c r="AD22" s="38"/>
      <c r="AE22" s="38"/>
      <c r="AF22" s="38"/>
    </row>
    <row r="23" spans="1:32" s="106" customFormat="1" ht="20.100000000000001" customHeight="1">
      <c r="A23" s="119"/>
      <c r="B23" s="120" t="str">
        <f>('修　理'!B32:C32)&amp;""</f>
        <v/>
      </c>
      <c r="C23" s="333" t="str">
        <f>('修　理'!D32)&amp;""</f>
        <v/>
      </c>
      <c r="D23" s="334"/>
      <c r="E23" s="334"/>
      <c r="F23" s="334"/>
      <c r="G23" s="334"/>
      <c r="H23" s="334"/>
      <c r="I23" s="335"/>
      <c r="J23" s="121"/>
      <c r="K23" s="122" t="e">
        <f>VLOOKUP(B23,'[1]オイレス価格表24．11'!$A$4:$F$831,3,0)</f>
        <v>#N/A</v>
      </c>
      <c r="L23" s="123" t="e">
        <f t="shared" si="0"/>
        <v>#N/A</v>
      </c>
      <c r="N23" s="207" t="s">
        <v>826</v>
      </c>
      <c r="O23" s="208" t="s">
        <v>40</v>
      </c>
      <c r="P23" s="38"/>
      <c r="Q23" s="38"/>
      <c r="R23" s="259" t="s">
        <v>862</v>
      </c>
      <c r="S23" s="260"/>
      <c r="T23" s="257" t="s">
        <v>53</v>
      </c>
      <c r="U23" s="258"/>
      <c r="V23" s="38"/>
      <c r="W23" s="38"/>
      <c r="X23" s="38"/>
      <c r="Y23" s="24"/>
      <c r="Z23" s="24"/>
      <c r="AA23" s="24"/>
      <c r="AB23" s="24"/>
      <c r="AC23" s="24"/>
      <c r="AD23" s="24"/>
      <c r="AE23" s="24"/>
      <c r="AF23" s="24"/>
    </row>
    <row r="24" spans="1:32" s="106" customFormat="1" ht="20.100000000000001" customHeight="1">
      <c r="A24" s="119"/>
      <c r="B24" s="120" t="str">
        <f>('修　理'!B33:C33)&amp;""</f>
        <v/>
      </c>
      <c r="C24" s="333" t="str">
        <f>('修　理'!D33)&amp;""</f>
        <v/>
      </c>
      <c r="D24" s="334"/>
      <c r="E24" s="334"/>
      <c r="F24" s="334"/>
      <c r="G24" s="334"/>
      <c r="H24" s="334"/>
      <c r="I24" s="335"/>
      <c r="J24" s="121"/>
      <c r="K24" s="122" t="e">
        <f>VLOOKUP(B24,'[1]オイレス価格表24．11'!$A$4:$F$831,3,0)</f>
        <v>#N/A</v>
      </c>
      <c r="L24" s="123" t="e">
        <f t="shared" si="0"/>
        <v>#N/A</v>
      </c>
      <c r="N24" s="207" t="s">
        <v>827</v>
      </c>
      <c r="O24" s="208" t="s">
        <v>41</v>
      </c>
      <c r="P24" s="38"/>
      <c r="Q24" s="38"/>
      <c r="R24" s="259" t="s">
        <v>863</v>
      </c>
      <c r="S24" s="260"/>
      <c r="T24" s="257" t="s">
        <v>259</v>
      </c>
      <c r="U24" s="258"/>
      <c r="V24" s="38"/>
      <c r="W24" s="38"/>
      <c r="X24" s="38"/>
      <c r="Y24" s="299" t="s">
        <v>302</v>
      </c>
      <c r="Z24" s="300"/>
      <c r="AA24" s="300"/>
      <c r="AB24" s="24"/>
      <c r="AC24" s="24"/>
      <c r="AD24" s="24"/>
      <c r="AE24" s="24"/>
      <c r="AF24" s="24"/>
    </row>
    <row r="25" spans="1:32" s="106" customFormat="1" ht="20.100000000000001" customHeight="1">
      <c r="A25" s="124"/>
      <c r="B25" s="120" t="str">
        <f>('修　理'!B34:C34)&amp;""</f>
        <v/>
      </c>
      <c r="C25" s="333" t="str">
        <f>('修　理'!D34)&amp;""</f>
        <v/>
      </c>
      <c r="D25" s="334"/>
      <c r="E25" s="334"/>
      <c r="F25" s="334"/>
      <c r="G25" s="334"/>
      <c r="H25" s="334"/>
      <c r="I25" s="335"/>
      <c r="J25" s="121"/>
      <c r="K25" s="122" t="e">
        <f>VLOOKUP(B25,'[1]オイレス価格表24．11'!$A$4:$F$831,3,0)</f>
        <v>#N/A</v>
      </c>
      <c r="L25" s="123" t="e">
        <f t="shared" si="0"/>
        <v>#N/A</v>
      </c>
      <c r="N25" s="206" t="s">
        <v>828</v>
      </c>
      <c r="O25" s="208" t="s">
        <v>140</v>
      </c>
      <c r="P25" s="38"/>
      <c r="Q25" s="38"/>
      <c r="R25" s="259" t="s">
        <v>864</v>
      </c>
      <c r="S25" s="260"/>
      <c r="T25" s="257" t="s">
        <v>141</v>
      </c>
      <c r="U25" s="258"/>
      <c r="V25" s="38"/>
      <c r="W25" s="38"/>
      <c r="X25" s="38"/>
      <c r="Y25" s="47" t="s">
        <v>265</v>
      </c>
      <c r="Z25" s="52" t="s">
        <v>266</v>
      </c>
      <c r="AA25" s="47" t="s">
        <v>373</v>
      </c>
      <c r="AB25" s="24"/>
      <c r="AC25" s="24"/>
      <c r="AD25" s="24"/>
      <c r="AE25" s="24"/>
      <c r="AF25" s="24"/>
    </row>
    <row r="26" spans="1:32" s="106" customFormat="1" ht="20.100000000000001" customHeight="1">
      <c r="A26" s="119"/>
      <c r="B26" s="120" t="str">
        <f>('修　理'!B35:C35)&amp;""</f>
        <v/>
      </c>
      <c r="C26" s="333" t="str">
        <f>('修　理'!D35)&amp;""</f>
        <v/>
      </c>
      <c r="D26" s="334"/>
      <c r="E26" s="334"/>
      <c r="F26" s="334"/>
      <c r="G26" s="334"/>
      <c r="H26" s="334"/>
      <c r="I26" s="335"/>
      <c r="J26" s="121"/>
      <c r="K26" s="122" t="e">
        <f>VLOOKUP(B26,'[1]オイレス価格表24．11'!$A$4:$F$831,3,0)</f>
        <v>#N/A</v>
      </c>
      <c r="L26" s="123" t="e">
        <f t="shared" si="0"/>
        <v>#N/A</v>
      </c>
      <c r="N26" s="206" t="s">
        <v>829</v>
      </c>
      <c r="O26" s="208" t="s">
        <v>141</v>
      </c>
      <c r="P26" s="38"/>
      <c r="Q26" s="38"/>
      <c r="R26" s="259" t="s">
        <v>865</v>
      </c>
      <c r="S26" s="260"/>
      <c r="T26" s="257" t="s">
        <v>54</v>
      </c>
      <c r="U26" s="258"/>
      <c r="V26" s="38"/>
      <c r="W26" s="38"/>
      <c r="X26" s="38"/>
      <c r="Y26" s="290" t="s">
        <v>260</v>
      </c>
      <c r="Z26" s="290"/>
      <c r="AA26" s="290"/>
      <c r="AB26" s="24"/>
      <c r="AC26" s="24"/>
      <c r="AD26" s="24"/>
      <c r="AE26" s="24"/>
      <c r="AF26" s="24"/>
    </row>
    <row r="27" spans="1:32" s="106" customFormat="1" ht="20.100000000000001" customHeight="1">
      <c r="A27" s="119"/>
      <c r="B27" s="120" t="str">
        <f>('修　理'!B36:C36)&amp;""</f>
        <v/>
      </c>
      <c r="C27" s="333" t="str">
        <f>('修　理'!D36)&amp;""</f>
        <v/>
      </c>
      <c r="D27" s="334"/>
      <c r="E27" s="334"/>
      <c r="F27" s="334"/>
      <c r="G27" s="334"/>
      <c r="H27" s="334"/>
      <c r="I27" s="335"/>
      <c r="J27" s="121"/>
      <c r="K27" s="122" t="e">
        <f>VLOOKUP(B27,'[1]オイレス価格表24．11'!$A$4:$F$831,3,0)</f>
        <v>#N/A</v>
      </c>
      <c r="L27" s="123" t="e">
        <f t="shared" si="0"/>
        <v>#N/A</v>
      </c>
      <c r="N27" s="206" t="s">
        <v>830</v>
      </c>
      <c r="O27" s="208" t="s">
        <v>141</v>
      </c>
      <c r="P27" s="38"/>
      <c r="Q27" s="38"/>
      <c r="R27" s="276" t="s">
        <v>344</v>
      </c>
      <c r="S27" s="277"/>
      <c r="T27" s="274" t="s">
        <v>55</v>
      </c>
      <c r="U27" s="275"/>
      <c r="V27" s="72"/>
      <c r="W27" s="72"/>
      <c r="X27" s="72"/>
      <c r="Y27" s="46" t="s">
        <v>303</v>
      </c>
      <c r="Z27" s="46" t="s">
        <v>313</v>
      </c>
      <c r="AA27" s="24"/>
      <c r="AB27" s="24"/>
      <c r="AC27" s="24"/>
      <c r="AD27" s="24"/>
      <c r="AE27" s="24"/>
      <c r="AF27" s="24"/>
    </row>
    <row r="28" spans="1:32" s="106" customFormat="1" ht="20.100000000000001" customHeight="1">
      <c r="A28" s="119"/>
      <c r="B28" s="120" t="str">
        <f>('修　理'!B37:C37)&amp;""</f>
        <v/>
      </c>
      <c r="C28" s="333" t="str">
        <f>('修　理'!D37)&amp;""</f>
        <v/>
      </c>
      <c r="D28" s="334"/>
      <c r="E28" s="334"/>
      <c r="F28" s="334"/>
      <c r="G28" s="334"/>
      <c r="H28" s="334"/>
      <c r="I28" s="335"/>
      <c r="J28" s="121"/>
      <c r="K28" s="122" t="e">
        <f>VLOOKUP(B28,'[1]オイレス価格表24．11'!$A$4:$F$831,3,0)</f>
        <v>#N/A</v>
      </c>
      <c r="L28" s="123" t="e">
        <f t="shared" si="0"/>
        <v>#N/A</v>
      </c>
      <c r="N28" s="206" t="s">
        <v>831</v>
      </c>
      <c r="O28" s="208" t="s">
        <v>140</v>
      </c>
      <c r="P28" s="38"/>
      <c r="Q28" s="38"/>
      <c r="R28" s="276" t="s">
        <v>162</v>
      </c>
      <c r="S28" s="277"/>
      <c r="T28" s="274" t="s">
        <v>177</v>
      </c>
      <c r="U28" s="275"/>
      <c r="V28" s="72"/>
      <c r="W28" s="72"/>
      <c r="X28" s="72"/>
      <c r="Y28" s="290" t="s">
        <v>314</v>
      </c>
      <c r="Z28" s="290"/>
      <c r="AA28" s="290"/>
      <c r="AB28" s="24"/>
      <c r="AC28" s="24"/>
      <c r="AD28" s="24"/>
      <c r="AE28" s="24"/>
      <c r="AF28" s="24"/>
    </row>
    <row r="29" spans="1:32" s="106" customFormat="1" ht="20.100000000000001" customHeight="1">
      <c r="A29" s="119"/>
      <c r="B29" s="120" t="str">
        <f>('修　理'!B38:C38)&amp;""</f>
        <v/>
      </c>
      <c r="C29" s="333" t="str">
        <f>('修　理'!D38)&amp;""</f>
        <v/>
      </c>
      <c r="D29" s="334"/>
      <c r="E29" s="334"/>
      <c r="F29" s="334"/>
      <c r="G29" s="334"/>
      <c r="H29" s="334"/>
      <c r="I29" s="335"/>
      <c r="J29" s="121"/>
      <c r="K29" s="122" t="e">
        <f>VLOOKUP(B29,'[1]オイレス価格表24．11'!$A$4:$F$831,3,0)</f>
        <v>#N/A</v>
      </c>
      <c r="L29" s="123" t="e">
        <f t="shared" si="0"/>
        <v>#N/A</v>
      </c>
      <c r="N29" s="206" t="s">
        <v>832</v>
      </c>
      <c r="O29" s="208" t="s">
        <v>42</v>
      </c>
      <c r="P29" s="38"/>
      <c r="Q29" s="38"/>
      <c r="R29" s="276" t="s">
        <v>163</v>
      </c>
      <c r="S29" s="277"/>
      <c r="T29" s="274" t="s">
        <v>178</v>
      </c>
      <c r="U29" s="275"/>
      <c r="V29" s="72"/>
      <c r="W29" s="72"/>
      <c r="X29" s="72"/>
      <c r="Y29" s="24"/>
      <c r="Z29" s="45" t="s">
        <v>262</v>
      </c>
      <c r="AA29" s="24"/>
      <c r="AB29" s="24"/>
      <c r="AC29" s="24"/>
      <c r="AD29" s="24"/>
      <c r="AE29" s="24"/>
      <c r="AF29" s="24"/>
    </row>
    <row r="30" spans="1:32" s="106" customFormat="1" ht="20.100000000000001" customHeight="1">
      <c r="A30" s="119"/>
      <c r="B30" s="120" t="str">
        <f>('修　理'!B39:C39)&amp;""</f>
        <v/>
      </c>
      <c r="C30" s="333" t="str">
        <f>('修　理'!D39)&amp;""</f>
        <v/>
      </c>
      <c r="D30" s="334"/>
      <c r="E30" s="334"/>
      <c r="F30" s="334"/>
      <c r="G30" s="334"/>
      <c r="H30" s="334"/>
      <c r="I30" s="335"/>
      <c r="J30" s="121"/>
      <c r="K30" s="122" t="e">
        <f>VLOOKUP(B30,'[1]オイレス価格表24．11'!$A$4:$F$831,3,0)</f>
        <v>#N/A</v>
      </c>
      <c r="L30" s="123" t="e">
        <f t="shared" si="0"/>
        <v>#N/A</v>
      </c>
      <c r="N30" s="206" t="s">
        <v>833</v>
      </c>
      <c r="O30" s="208" t="s">
        <v>43</v>
      </c>
      <c r="P30" s="38"/>
      <c r="Q30" s="38"/>
      <c r="R30" s="276" t="s">
        <v>164</v>
      </c>
      <c r="S30" s="277"/>
      <c r="T30" s="274" t="s">
        <v>56</v>
      </c>
      <c r="U30" s="275"/>
      <c r="V30" s="72"/>
      <c r="W30" s="72"/>
      <c r="X30" s="72"/>
      <c r="Y30" s="322" t="s">
        <v>258</v>
      </c>
      <c r="Z30" s="322"/>
      <c r="AA30" s="322"/>
      <c r="AB30" s="323"/>
      <c r="AC30" s="24"/>
      <c r="AD30" s="24"/>
      <c r="AE30" s="24"/>
      <c r="AF30" s="24"/>
    </row>
    <row r="31" spans="1:32" s="106" customFormat="1" ht="20.100000000000001" customHeight="1">
      <c r="A31" s="119"/>
      <c r="B31" s="120" t="str">
        <f>('修　理'!B40:C40)&amp;""</f>
        <v/>
      </c>
      <c r="C31" s="333" t="str">
        <f>('修　理'!D40)&amp;""</f>
        <v/>
      </c>
      <c r="D31" s="334"/>
      <c r="E31" s="334"/>
      <c r="F31" s="334"/>
      <c r="G31" s="334"/>
      <c r="H31" s="334"/>
      <c r="I31" s="335"/>
      <c r="J31" s="121"/>
      <c r="K31" s="122" t="e">
        <f>VLOOKUP(B31,'[1]オイレス価格表24．11'!$A$4:$F$831,3,0)</f>
        <v>#N/A</v>
      </c>
      <c r="L31" s="123" t="e">
        <f t="shared" si="0"/>
        <v>#N/A</v>
      </c>
      <c r="N31" s="206" t="s">
        <v>834</v>
      </c>
      <c r="O31" s="208" t="s">
        <v>44</v>
      </c>
      <c r="P31" s="38"/>
      <c r="Q31" s="38"/>
      <c r="R31" s="276" t="s">
        <v>165</v>
      </c>
      <c r="S31" s="277"/>
      <c r="T31" s="274" t="s">
        <v>57</v>
      </c>
      <c r="U31" s="275"/>
      <c r="V31" s="72"/>
      <c r="W31" s="72"/>
      <c r="X31" s="72"/>
      <c r="Y31" s="24"/>
      <c r="Z31" s="50" t="s">
        <v>257</v>
      </c>
      <c r="AA31" s="24"/>
      <c r="AB31" s="24"/>
      <c r="AC31" s="24"/>
      <c r="AD31" s="24"/>
      <c r="AE31" s="24"/>
      <c r="AF31" s="24"/>
    </row>
    <row r="32" spans="1:32" s="106" customFormat="1" ht="20.100000000000001" customHeight="1">
      <c r="A32" s="119"/>
      <c r="B32" s="120" t="str">
        <f>('修　理'!B41:C41)&amp;""</f>
        <v/>
      </c>
      <c r="C32" s="333" t="str">
        <f>('修　理'!D41)&amp;""</f>
        <v/>
      </c>
      <c r="D32" s="334"/>
      <c r="E32" s="334"/>
      <c r="F32" s="334"/>
      <c r="G32" s="334"/>
      <c r="H32" s="334"/>
      <c r="I32" s="335"/>
      <c r="J32" s="121"/>
      <c r="K32" s="122" t="e">
        <f>VLOOKUP(B32,'[1]オイレス価格表24．11'!$A$4:$F$831,3,0)</f>
        <v>#N/A</v>
      </c>
      <c r="L32" s="123" t="e">
        <f t="shared" si="0"/>
        <v>#N/A</v>
      </c>
      <c r="N32" s="206" t="s">
        <v>835</v>
      </c>
      <c r="O32" s="208" t="s">
        <v>45</v>
      </c>
      <c r="P32" s="38"/>
      <c r="Q32" s="38"/>
      <c r="R32" s="276" t="s">
        <v>166</v>
      </c>
      <c r="S32" s="277"/>
      <c r="T32" s="274" t="s">
        <v>58</v>
      </c>
      <c r="U32" s="275"/>
      <c r="V32" s="72"/>
      <c r="W32" s="72"/>
      <c r="X32" s="72"/>
      <c r="Y32" s="321" t="s">
        <v>356</v>
      </c>
      <c r="Z32" s="321"/>
      <c r="AA32" s="321"/>
      <c r="AB32" s="321"/>
      <c r="AC32" s="24"/>
      <c r="AD32" s="24"/>
      <c r="AE32" s="24"/>
      <c r="AF32" s="24"/>
    </row>
    <row r="33" spans="1:32" s="106" customFormat="1" ht="19.5" customHeight="1">
      <c r="J33" s="125" t="s">
        <v>463</v>
      </c>
      <c r="K33" s="123" t="e">
        <f>SUM(K13:K32)</f>
        <v>#N/A</v>
      </c>
      <c r="L33" s="123" t="e">
        <f>SUM(L13:L32)</f>
        <v>#N/A</v>
      </c>
      <c r="N33" s="206" t="s">
        <v>836</v>
      </c>
      <c r="O33" s="208" t="s">
        <v>36</v>
      </c>
      <c r="P33" s="38"/>
      <c r="Q33" s="38"/>
      <c r="R33" s="276" t="s">
        <v>60</v>
      </c>
      <c r="S33" s="277"/>
      <c r="T33" s="274" t="s">
        <v>59</v>
      </c>
      <c r="U33" s="275"/>
      <c r="V33" s="72"/>
      <c r="W33" s="72"/>
      <c r="X33" s="72"/>
      <c r="Y33" s="24"/>
      <c r="Z33" s="47" t="s">
        <v>357</v>
      </c>
      <c r="AA33" s="24"/>
      <c r="AB33" s="24"/>
      <c r="AC33" s="24"/>
      <c r="AD33" s="24"/>
      <c r="AE33" s="24"/>
      <c r="AF33" s="24"/>
    </row>
    <row r="34" spans="1:32" s="106" customFormat="1" ht="4.5" customHeight="1">
      <c r="J34" s="107"/>
      <c r="N34" s="206" t="s">
        <v>837</v>
      </c>
      <c r="O34" s="208" t="s">
        <v>142</v>
      </c>
      <c r="P34" s="38"/>
      <c r="Q34" s="38"/>
      <c r="R34" s="276" t="s">
        <v>264</v>
      </c>
      <c r="S34" s="277"/>
      <c r="T34" s="274" t="s">
        <v>58</v>
      </c>
      <c r="U34" s="275"/>
      <c r="V34" s="72"/>
      <c r="W34" s="72"/>
      <c r="X34" s="72"/>
      <c r="Y34" s="324" t="s">
        <v>304</v>
      </c>
      <c r="Z34" s="305"/>
      <c r="AA34" s="305"/>
      <c r="AB34" s="8" t="s">
        <v>305</v>
      </c>
      <c r="AC34" s="24"/>
      <c r="AD34" s="24"/>
      <c r="AE34" s="24"/>
      <c r="AF34" s="24"/>
    </row>
    <row r="35" spans="1:32" s="106" customFormat="1" ht="4.5" customHeight="1">
      <c r="J35" s="107"/>
      <c r="N35" s="206" t="s">
        <v>838</v>
      </c>
      <c r="O35" s="208" t="s">
        <v>46</v>
      </c>
      <c r="P35" s="38"/>
      <c r="Q35" s="38"/>
      <c r="R35" s="276" t="s">
        <v>168</v>
      </c>
      <c r="S35" s="277"/>
      <c r="T35" s="274" t="s">
        <v>61</v>
      </c>
      <c r="U35" s="275"/>
      <c r="V35" s="72"/>
      <c r="W35" s="72"/>
      <c r="X35" s="72"/>
      <c r="Y35" s="24"/>
      <c r="Z35" s="24"/>
      <c r="AA35" s="24"/>
      <c r="AB35" s="24"/>
      <c r="AC35" s="24"/>
      <c r="AD35" s="24"/>
      <c r="AE35" s="24"/>
      <c r="AF35" s="24"/>
    </row>
    <row r="36" spans="1:32" s="106" customFormat="1" ht="19.5" customHeight="1">
      <c r="A36" s="115" t="s">
        <v>457</v>
      </c>
      <c r="B36" s="116"/>
      <c r="C36" s="128"/>
      <c r="D36" s="344" t="s">
        <v>466</v>
      </c>
      <c r="E36" s="345"/>
      <c r="F36" s="345"/>
      <c r="G36" s="346"/>
      <c r="J36" s="107"/>
      <c r="N36" s="206" t="s">
        <v>839</v>
      </c>
      <c r="O36" s="208" t="s">
        <v>47</v>
      </c>
      <c r="P36" s="38"/>
      <c r="Q36" s="38"/>
      <c r="R36" s="276" t="s">
        <v>167</v>
      </c>
      <c r="S36" s="277"/>
      <c r="T36" s="274" t="s">
        <v>179</v>
      </c>
      <c r="U36" s="275"/>
      <c r="V36" s="72"/>
      <c r="W36" s="72"/>
      <c r="X36" s="72"/>
      <c r="Y36" s="24"/>
      <c r="Z36" s="24"/>
      <c r="AA36" s="24"/>
      <c r="AB36" s="24"/>
      <c r="AC36" s="24"/>
      <c r="AD36" s="24"/>
      <c r="AE36" s="24"/>
      <c r="AF36" s="24"/>
    </row>
    <row r="37" spans="1:32" s="106" customFormat="1" ht="20.25" customHeight="1">
      <c r="B37" s="127"/>
      <c r="D37" s="347" t="s">
        <v>467</v>
      </c>
      <c r="E37" s="345"/>
      <c r="F37" s="345"/>
      <c r="G37" s="346"/>
      <c r="J37" s="107"/>
      <c r="N37" s="206" t="s">
        <v>840</v>
      </c>
      <c r="O37" s="208" t="s">
        <v>318</v>
      </c>
      <c r="P37" s="38"/>
      <c r="Q37" s="38"/>
      <c r="R37" s="276" t="s">
        <v>1204</v>
      </c>
      <c r="S37" s="277"/>
      <c r="T37" s="274" t="s">
        <v>301</v>
      </c>
      <c r="U37" s="275"/>
      <c r="V37" s="72"/>
      <c r="W37" s="72"/>
      <c r="X37" s="72"/>
      <c r="Y37" s="24"/>
      <c r="Z37" s="24"/>
      <c r="AA37" s="24"/>
      <c r="AB37" s="24"/>
      <c r="AC37" s="24"/>
      <c r="AD37" s="24"/>
      <c r="AE37" s="24"/>
      <c r="AF37" s="24"/>
    </row>
    <row r="38" spans="1:32" s="106" customFormat="1" ht="18.75" customHeight="1">
      <c r="A38" s="107"/>
      <c r="B38" s="107"/>
      <c r="D38" s="348"/>
      <c r="E38" s="349"/>
      <c r="F38" s="349"/>
      <c r="G38" s="350"/>
      <c r="J38" s="107"/>
      <c r="N38" s="206" t="s">
        <v>841</v>
      </c>
      <c r="O38" s="208" t="s">
        <v>144</v>
      </c>
      <c r="P38" s="38"/>
      <c r="Q38" s="38"/>
      <c r="R38" s="276" t="s">
        <v>1205</v>
      </c>
      <c r="S38" s="277"/>
      <c r="T38" s="274" t="s">
        <v>323</v>
      </c>
      <c r="U38" s="275"/>
      <c r="V38" s="72"/>
      <c r="W38" s="72"/>
      <c r="X38" s="72"/>
      <c r="Y38" s="24"/>
      <c r="Z38" s="24"/>
      <c r="AA38" s="24"/>
      <c r="AB38" s="24"/>
      <c r="AC38" s="24"/>
      <c r="AD38" s="24"/>
      <c r="AE38" s="24"/>
      <c r="AF38" s="24"/>
    </row>
    <row r="39" spans="1:32" s="106" customFormat="1" ht="19.5" customHeight="1">
      <c r="D39" s="351"/>
      <c r="E39" s="352"/>
      <c r="F39" s="352"/>
      <c r="G39" s="353"/>
      <c r="J39" s="107"/>
      <c r="N39" s="206" t="s">
        <v>842</v>
      </c>
      <c r="O39" s="208" t="s">
        <v>144</v>
      </c>
      <c r="P39" s="38"/>
      <c r="Q39" s="38"/>
      <c r="R39" s="276" t="s">
        <v>1206</v>
      </c>
      <c r="S39" s="277"/>
      <c r="T39" s="274" t="s">
        <v>324</v>
      </c>
      <c r="U39" s="275"/>
      <c r="V39" s="72"/>
      <c r="W39" s="72"/>
      <c r="X39" s="72"/>
      <c r="Y39" s="24"/>
      <c r="Z39" s="24"/>
      <c r="AA39" s="24"/>
      <c r="AB39" s="24"/>
      <c r="AC39" s="24"/>
      <c r="AD39" s="24"/>
      <c r="AE39" s="24"/>
      <c r="AF39" s="24"/>
    </row>
    <row r="40" spans="1:32" s="106" customFormat="1" ht="9.9499999999999993" customHeight="1">
      <c r="J40" s="107"/>
      <c r="N40" s="206" t="s">
        <v>843</v>
      </c>
      <c r="O40" s="208" t="s">
        <v>144</v>
      </c>
      <c r="P40" s="38"/>
      <c r="Q40" s="38"/>
      <c r="R40" s="276" t="s">
        <v>1207</v>
      </c>
      <c r="S40" s="277"/>
      <c r="T40" s="274" t="s">
        <v>325</v>
      </c>
      <c r="U40" s="275"/>
      <c r="V40" s="72"/>
      <c r="W40" s="72"/>
      <c r="X40" s="72"/>
      <c r="Y40" s="24"/>
      <c r="Z40" s="24"/>
      <c r="AA40" s="24"/>
      <c r="AB40" s="24"/>
      <c r="AC40" s="24"/>
      <c r="AD40" s="24"/>
      <c r="AE40" s="24"/>
      <c r="AF40" s="24"/>
    </row>
    <row r="41" spans="1:32" s="106" customFormat="1" ht="19.5" customHeight="1">
      <c r="A41" s="354" t="s">
        <v>464</v>
      </c>
      <c r="B41" s="354"/>
      <c r="C41" s="354"/>
      <c r="D41" s="354"/>
      <c r="E41" s="354"/>
      <c r="F41" s="354"/>
      <c r="G41" s="354"/>
      <c r="H41" s="354"/>
      <c r="I41" s="354"/>
      <c r="J41" s="354"/>
      <c r="K41" s="354"/>
      <c r="L41" s="354"/>
      <c r="N41" s="206" t="s">
        <v>844</v>
      </c>
      <c r="O41" s="208" t="s">
        <v>144</v>
      </c>
      <c r="P41" s="38"/>
      <c r="Q41" s="38"/>
      <c r="R41" s="276" t="s">
        <v>292</v>
      </c>
      <c r="S41" s="277"/>
      <c r="T41" s="274" t="s">
        <v>326</v>
      </c>
      <c r="U41" s="275"/>
      <c r="V41" s="72"/>
      <c r="W41" s="72"/>
      <c r="X41" s="72"/>
      <c r="Y41" s="24"/>
      <c r="Z41" s="24"/>
      <c r="AA41" s="24"/>
      <c r="AB41" s="24"/>
      <c r="AC41" s="24"/>
      <c r="AD41" s="24"/>
      <c r="AE41" s="24"/>
      <c r="AF41" s="24"/>
    </row>
    <row r="42" spans="1:32" s="106" customFormat="1" ht="19.5" customHeight="1">
      <c r="A42" s="126" t="s">
        <v>465</v>
      </c>
      <c r="B42" s="126"/>
      <c r="C42" s="126"/>
      <c r="D42" s="126"/>
      <c r="E42" s="126"/>
      <c r="F42" s="126"/>
      <c r="G42" s="126"/>
      <c r="H42" s="126"/>
      <c r="I42" s="126"/>
      <c r="J42" s="126"/>
      <c r="K42" s="126"/>
      <c r="L42" s="126"/>
      <c r="N42" s="206" t="s">
        <v>845</v>
      </c>
      <c r="O42" s="208" t="s">
        <v>145</v>
      </c>
      <c r="P42" s="38"/>
      <c r="Q42" s="38"/>
      <c r="R42" s="276" t="s">
        <v>293</v>
      </c>
      <c r="S42" s="277"/>
      <c r="T42" s="274" t="s">
        <v>290</v>
      </c>
      <c r="U42" s="275"/>
      <c r="V42" s="72"/>
      <c r="W42" s="72"/>
      <c r="X42" s="72"/>
      <c r="Y42" s="24"/>
      <c r="Z42" s="24"/>
      <c r="AA42" s="24"/>
      <c r="AB42" s="24"/>
      <c r="AC42" s="24"/>
      <c r="AD42" s="24"/>
      <c r="AE42" s="24"/>
      <c r="AF42" s="24"/>
    </row>
    <row r="43" spans="1:32">
      <c r="N43" s="206" t="s">
        <v>846</v>
      </c>
      <c r="O43" s="208" t="s">
        <v>145</v>
      </c>
      <c r="P43" s="38"/>
      <c r="Q43" s="38"/>
      <c r="R43" s="276" t="s">
        <v>291</v>
      </c>
      <c r="S43" s="277"/>
      <c r="T43" s="274" t="s">
        <v>327</v>
      </c>
      <c r="U43" s="275"/>
      <c r="V43" s="72"/>
      <c r="W43" s="72"/>
      <c r="X43" s="72"/>
      <c r="Y43" s="24"/>
      <c r="Z43" s="24"/>
      <c r="AA43" s="24"/>
      <c r="AB43" s="24"/>
      <c r="AC43" s="24"/>
      <c r="AD43" s="24"/>
      <c r="AE43" s="24"/>
      <c r="AF43" s="24"/>
    </row>
    <row r="44" spans="1:32">
      <c r="N44" s="206" t="s">
        <v>847</v>
      </c>
      <c r="O44" s="208" t="s">
        <v>145</v>
      </c>
      <c r="P44" s="38"/>
      <c r="Q44" s="38"/>
      <c r="R44" s="276" t="s">
        <v>294</v>
      </c>
      <c r="S44" s="277"/>
      <c r="T44" s="274" t="s">
        <v>290</v>
      </c>
      <c r="U44" s="275"/>
      <c r="V44" s="72"/>
      <c r="W44" s="72"/>
      <c r="X44" s="72"/>
      <c r="Y44" s="24"/>
      <c r="Z44" s="24"/>
      <c r="AA44" s="24"/>
      <c r="AB44" s="24"/>
      <c r="AC44" s="24"/>
      <c r="AD44" s="24"/>
      <c r="AE44" s="24"/>
      <c r="AF44" s="24"/>
    </row>
    <row r="45" spans="1:32">
      <c r="N45" s="206" t="s">
        <v>848</v>
      </c>
      <c r="O45" s="208" t="s">
        <v>146</v>
      </c>
      <c r="P45" s="38"/>
      <c r="Q45" s="38"/>
      <c r="R45" s="277" t="s">
        <v>129</v>
      </c>
      <c r="S45" s="277"/>
      <c r="T45" s="278" t="s">
        <v>360</v>
      </c>
      <c r="U45" s="278"/>
      <c r="V45" s="73"/>
      <c r="W45" s="72"/>
      <c r="X45" s="72"/>
      <c r="Y45" s="24"/>
      <c r="Z45" s="24"/>
      <c r="AA45" s="24"/>
      <c r="AB45" s="24"/>
      <c r="AC45" s="24"/>
      <c r="AD45" s="24"/>
      <c r="AE45" s="24"/>
      <c r="AF45" s="24"/>
    </row>
    <row r="46" spans="1:32">
      <c r="N46" s="206" t="s">
        <v>849</v>
      </c>
      <c r="O46" s="208" t="s">
        <v>147</v>
      </c>
      <c r="P46" s="38"/>
      <c r="Q46" s="38"/>
      <c r="R46" s="277" t="s">
        <v>370</v>
      </c>
      <c r="S46" s="277"/>
      <c r="T46" s="278" t="s">
        <v>371</v>
      </c>
      <c r="U46" s="278"/>
      <c r="V46" s="74"/>
      <c r="W46" s="72"/>
      <c r="X46" s="72"/>
      <c r="Y46" s="24"/>
      <c r="Z46" s="24"/>
      <c r="AA46" s="24"/>
      <c r="AB46" s="24"/>
      <c r="AC46" s="24"/>
      <c r="AD46" s="24"/>
      <c r="AE46" s="24"/>
      <c r="AF46" s="24"/>
    </row>
    <row r="47" spans="1:32">
      <c r="N47" s="206" t="s">
        <v>818</v>
      </c>
      <c r="O47" s="208" t="s">
        <v>148</v>
      </c>
      <c r="P47" s="38"/>
      <c r="Q47" s="38"/>
      <c r="R47" s="204"/>
      <c r="S47" s="204"/>
      <c r="T47" s="205"/>
      <c r="U47" s="66"/>
      <c r="V47" s="64"/>
      <c r="W47" s="38"/>
      <c r="X47" s="38"/>
      <c r="Y47" s="24"/>
      <c r="Z47" s="24"/>
      <c r="AA47" s="24"/>
      <c r="AB47" s="24"/>
      <c r="AC47" s="24"/>
      <c r="AD47" s="24"/>
      <c r="AE47" s="24"/>
      <c r="AF47" s="24"/>
    </row>
    <row r="48" spans="1:32">
      <c r="N48" s="206" t="s">
        <v>850</v>
      </c>
      <c r="O48" s="208" t="s">
        <v>180</v>
      </c>
      <c r="P48" s="38"/>
      <c r="Q48" s="38"/>
      <c r="R48" s="204"/>
      <c r="S48" s="204"/>
      <c r="T48" s="205"/>
      <c r="U48" s="66"/>
      <c r="V48" s="64"/>
      <c r="W48" s="38"/>
      <c r="X48" s="38"/>
      <c r="Y48" s="24"/>
      <c r="Z48" s="24"/>
      <c r="AA48" s="24"/>
      <c r="AB48" s="24"/>
      <c r="AC48" s="24"/>
      <c r="AD48" s="24"/>
      <c r="AE48" s="24"/>
      <c r="AF48" s="24"/>
    </row>
    <row r="49" spans="14:32">
      <c r="N49" s="206" t="s">
        <v>851</v>
      </c>
      <c r="O49" s="208" t="s">
        <v>181</v>
      </c>
      <c r="P49" s="38"/>
      <c r="Q49" s="44"/>
      <c r="R49" s="24"/>
      <c r="S49" s="24"/>
      <c r="T49" s="24"/>
      <c r="U49" s="24"/>
      <c r="V49" s="59"/>
      <c r="W49" s="59"/>
      <c r="X49" s="59"/>
      <c r="Y49" s="59"/>
      <c r="Z49" s="24"/>
      <c r="AA49" s="24"/>
      <c r="AB49" s="24"/>
      <c r="AC49" s="24"/>
      <c r="AD49" s="42"/>
      <c r="AE49" s="42"/>
      <c r="AF49" s="42"/>
    </row>
    <row r="50" spans="14:32">
      <c r="N50" s="206" t="s">
        <v>852</v>
      </c>
      <c r="O50" s="208" t="s">
        <v>367</v>
      </c>
      <c r="P50" s="38"/>
      <c r="Q50" s="44"/>
      <c r="R50" s="24"/>
      <c r="S50" s="24"/>
      <c r="T50" s="15"/>
      <c r="U50" s="15"/>
      <c r="V50" s="15" t="s">
        <v>50</v>
      </c>
      <c r="W50" s="15" t="s">
        <v>307</v>
      </c>
      <c r="X50" s="15" t="s">
        <v>48</v>
      </c>
      <c r="Y50" s="59"/>
      <c r="Z50" s="24"/>
      <c r="AA50" s="24"/>
      <c r="AB50" s="24"/>
      <c r="AC50" s="24"/>
      <c r="AD50" s="42"/>
      <c r="AE50" s="42"/>
      <c r="AF50" s="42"/>
    </row>
  </sheetData>
  <mergeCells count="135">
    <mergeCell ref="R45:S45"/>
    <mergeCell ref="T45:U45"/>
    <mergeCell ref="R46:S46"/>
    <mergeCell ref="T46:U46"/>
    <mergeCell ref="R42:S42"/>
    <mergeCell ref="T42:U42"/>
    <mergeCell ref="R43:S43"/>
    <mergeCell ref="T43:U43"/>
    <mergeCell ref="R44:S44"/>
    <mergeCell ref="T44:U44"/>
    <mergeCell ref="R39:S39"/>
    <mergeCell ref="T39:U39"/>
    <mergeCell ref="R40:S40"/>
    <mergeCell ref="T40:U40"/>
    <mergeCell ref="R41:S41"/>
    <mergeCell ref="T41:U41"/>
    <mergeCell ref="R36:S36"/>
    <mergeCell ref="T36:U36"/>
    <mergeCell ref="R37:S37"/>
    <mergeCell ref="T37:U37"/>
    <mergeCell ref="R38:S38"/>
    <mergeCell ref="T38:U38"/>
    <mergeCell ref="R34:S34"/>
    <mergeCell ref="T34:U34"/>
    <mergeCell ref="Y34:AA34"/>
    <mergeCell ref="R35:S35"/>
    <mergeCell ref="T35:U35"/>
    <mergeCell ref="R32:S32"/>
    <mergeCell ref="T32:U32"/>
    <mergeCell ref="Y32:AB32"/>
    <mergeCell ref="R33:S33"/>
    <mergeCell ref="T33:U33"/>
    <mergeCell ref="R30:S30"/>
    <mergeCell ref="T30:U30"/>
    <mergeCell ref="Y30:AB30"/>
    <mergeCell ref="R31:S31"/>
    <mergeCell ref="T31:U31"/>
    <mergeCell ref="R28:S28"/>
    <mergeCell ref="T28:U28"/>
    <mergeCell ref="Y28:AA28"/>
    <mergeCell ref="R29:S29"/>
    <mergeCell ref="T29:U29"/>
    <mergeCell ref="R26:S26"/>
    <mergeCell ref="T26:U26"/>
    <mergeCell ref="Y26:AA26"/>
    <mergeCell ref="R27:S27"/>
    <mergeCell ref="T27:U27"/>
    <mergeCell ref="R24:S24"/>
    <mergeCell ref="T24:U24"/>
    <mergeCell ref="Y24:AA24"/>
    <mergeCell ref="R25:S25"/>
    <mergeCell ref="T25:U25"/>
    <mergeCell ref="R22:S22"/>
    <mergeCell ref="T22:U22"/>
    <mergeCell ref="Y22:Z22"/>
    <mergeCell ref="AA22:AB22"/>
    <mergeCell ref="R23:S23"/>
    <mergeCell ref="T23:U23"/>
    <mergeCell ref="R20:S20"/>
    <mergeCell ref="T20:U20"/>
    <mergeCell ref="Y20:Z20"/>
    <mergeCell ref="AA20:AB20"/>
    <mergeCell ref="R21:S21"/>
    <mergeCell ref="T21:U21"/>
    <mergeCell ref="Y21:Z21"/>
    <mergeCell ref="AA21:AB21"/>
    <mergeCell ref="R18:S18"/>
    <mergeCell ref="T18:U18"/>
    <mergeCell ref="Y18:Z18"/>
    <mergeCell ref="AA18:AB18"/>
    <mergeCell ref="R19:S19"/>
    <mergeCell ref="T19:U19"/>
    <mergeCell ref="Y19:Z19"/>
    <mergeCell ref="AA19:AB19"/>
    <mergeCell ref="R16:S16"/>
    <mergeCell ref="T16:U16"/>
    <mergeCell ref="Y16:Z16"/>
    <mergeCell ref="AA16:AB16"/>
    <mergeCell ref="R17:S17"/>
    <mergeCell ref="T17:U17"/>
    <mergeCell ref="Y17:Z17"/>
    <mergeCell ref="AA17:AB17"/>
    <mergeCell ref="R14:S14"/>
    <mergeCell ref="T14:U14"/>
    <mergeCell ref="Y14:Z14"/>
    <mergeCell ref="AA14:AB14"/>
    <mergeCell ref="R15:S15"/>
    <mergeCell ref="T15:U15"/>
    <mergeCell ref="Y15:Z15"/>
    <mergeCell ref="AA15:AB15"/>
    <mergeCell ref="N12:O12"/>
    <mergeCell ref="Y12:AA12"/>
    <mergeCell ref="R13:S13"/>
    <mergeCell ref="T13:U13"/>
    <mergeCell ref="Y13:Z13"/>
    <mergeCell ref="AA13:AB13"/>
    <mergeCell ref="D36:G36"/>
    <mergeCell ref="D37:G39"/>
    <mergeCell ref="A41:L41"/>
    <mergeCell ref="C11:I11"/>
    <mergeCell ref="K11:L11"/>
    <mergeCell ref="C12:I12"/>
    <mergeCell ref="C13:I13"/>
    <mergeCell ref="C14:I14"/>
    <mergeCell ref="C15:I15"/>
    <mergeCell ref="C16:I16"/>
    <mergeCell ref="C17:I17"/>
    <mergeCell ref="C18:I18"/>
    <mergeCell ref="C19:I19"/>
    <mergeCell ref="C20:I20"/>
    <mergeCell ref="C21:I21"/>
    <mergeCell ref="C22:I22"/>
    <mergeCell ref="C23:I23"/>
    <mergeCell ref="C24:I24"/>
    <mergeCell ref="C25:I25"/>
    <mergeCell ref="C26:I26"/>
    <mergeCell ref="C27:I27"/>
    <mergeCell ref="C28:I28"/>
    <mergeCell ref="C29:I29"/>
    <mergeCell ref="C30:I30"/>
    <mergeCell ref="C31:I31"/>
    <mergeCell ref="C32:I32"/>
    <mergeCell ref="C8:F8"/>
    <mergeCell ref="G8:I8"/>
    <mergeCell ref="B9:I9"/>
    <mergeCell ref="K9:L9"/>
    <mergeCell ref="B10:I10"/>
    <mergeCell ref="K10:L10"/>
    <mergeCell ref="A2:L3"/>
    <mergeCell ref="C5:F5"/>
    <mergeCell ref="K5:L5"/>
    <mergeCell ref="C6:F6"/>
    <mergeCell ref="C7:F7"/>
    <mergeCell ref="G7:I7"/>
    <mergeCell ref="K7:L7"/>
  </mergeCells>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FE4EE-E572-4211-88AD-0599DF5BAEE4}">
  <dimension ref="A1:AD35"/>
  <sheetViews>
    <sheetView workbookViewId="0">
      <selection activeCell="J6" sqref="J6:M6"/>
    </sheetView>
  </sheetViews>
  <sheetFormatPr defaultColWidth="8.125" defaultRowHeight="13.5"/>
  <cols>
    <col min="1" max="1" width="8.625" customWidth="1"/>
    <col min="2" max="2" width="9.25" customWidth="1"/>
    <col min="3" max="3" width="7.375" customWidth="1"/>
    <col min="4" max="4" width="6.625" customWidth="1"/>
    <col min="5" max="7" width="6.875" customWidth="1"/>
    <col min="8" max="8" width="9.375" customWidth="1"/>
    <col min="9" max="10" width="9.25" customWidth="1"/>
    <col min="11" max="11" width="9.125" customWidth="1"/>
    <col min="13" max="13" width="10.75" customWidth="1"/>
    <col min="14" max="14" width="8.875" customWidth="1"/>
    <col min="15" max="15" width="10.25" customWidth="1"/>
    <col min="19" max="19" width="10.625" customWidth="1"/>
    <col min="20" max="20" width="7.875" customWidth="1"/>
    <col min="22" max="22" width="10.75" customWidth="1"/>
    <col min="257" max="257" width="8.625" customWidth="1"/>
    <col min="258" max="258" width="9.25" customWidth="1"/>
    <col min="259" max="259" width="7.375" customWidth="1"/>
    <col min="260" max="260" width="6.625" customWidth="1"/>
    <col min="261" max="263" width="6.875" customWidth="1"/>
    <col min="264" max="264" width="9.375" customWidth="1"/>
    <col min="265" max="266" width="9.25" customWidth="1"/>
    <col min="267" max="267" width="9.125" customWidth="1"/>
    <col min="269" max="269" width="10.75" customWidth="1"/>
    <col min="270" max="270" width="8.875" customWidth="1"/>
    <col min="271" max="271" width="10.25" customWidth="1"/>
    <col min="275" max="275" width="10.625" customWidth="1"/>
    <col min="276" max="276" width="7.875" customWidth="1"/>
    <col min="278" max="278" width="10.75" customWidth="1"/>
    <col min="513" max="513" width="8.625" customWidth="1"/>
    <col min="514" max="514" width="9.25" customWidth="1"/>
    <col min="515" max="515" width="7.375" customWidth="1"/>
    <col min="516" max="516" width="6.625" customWidth="1"/>
    <col min="517" max="519" width="6.875" customWidth="1"/>
    <col min="520" max="520" width="9.375" customWidth="1"/>
    <col min="521" max="522" width="9.25" customWidth="1"/>
    <col min="523" max="523" width="9.125" customWidth="1"/>
    <col min="525" max="525" width="10.75" customWidth="1"/>
    <col min="526" max="526" width="8.875" customWidth="1"/>
    <col min="527" max="527" width="10.25" customWidth="1"/>
    <col min="531" max="531" width="10.625" customWidth="1"/>
    <col min="532" max="532" width="7.875" customWidth="1"/>
    <col min="534" max="534" width="10.75" customWidth="1"/>
    <col min="769" max="769" width="8.625" customWidth="1"/>
    <col min="770" max="770" width="9.25" customWidth="1"/>
    <col min="771" max="771" width="7.375" customWidth="1"/>
    <col min="772" max="772" width="6.625" customWidth="1"/>
    <col min="773" max="775" width="6.875" customWidth="1"/>
    <col min="776" max="776" width="9.375" customWidth="1"/>
    <col min="777" max="778" width="9.25" customWidth="1"/>
    <col min="779" max="779" width="9.125" customWidth="1"/>
    <col min="781" max="781" width="10.75" customWidth="1"/>
    <col min="782" max="782" width="8.875" customWidth="1"/>
    <col min="783" max="783" width="10.25" customWidth="1"/>
    <col min="787" max="787" width="10.625" customWidth="1"/>
    <col min="788" max="788" width="7.875" customWidth="1"/>
    <col min="790" max="790" width="10.75" customWidth="1"/>
    <col min="1025" max="1025" width="8.625" customWidth="1"/>
    <col min="1026" max="1026" width="9.25" customWidth="1"/>
    <col min="1027" max="1027" width="7.375" customWidth="1"/>
    <col min="1028" max="1028" width="6.625" customWidth="1"/>
    <col min="1029" max="1031" width="6.875" customWidth="1"/>
    <col min="1032" max="1032" width="9.375" customWidth="1"/>
    <col min="1033" max="1034" width="9.25" customWidth="1"/>
    <col min="1035" max="1035" width="9.125" customWidth="1"/>
    <col min="1037" max="1037" width="10.75" customWidth="1"/>
    <col min="1038" max="1038" width="8.875" customWidth="1"/>
    <col min="1039" max="1039" width="10.25" customWidth="1"/>
    <col min="1043" max="1043" width="10.625" customWidth="1"/>
    <col min="1044" max="1044" width="7.875" customWidth="1"/>
    <col min="1046" max="1046" width="10.75" customWidth="1"/>
    <col min="1281" max="1281" width="8.625" customWidth="1"/>
    <col min="1282" max="1282" width="9.25" customWidth="1"/>
    <col min="1283" max="1283" width="7.375" customWidth="1"/>
    <col min="1284" max="1284" width="6.625" customWidth="1"/>
    <col min="1285" max="1287" width="6.875" customWidth="1"/>
    <col min="1288" max="1288" width="9.375" customWidth="1"/>
    <col min="1289" max="1290" width="9.25" customWidth="1"/>
    <col min="1291" max="1291" width="9.125" customWidth="1"/>
    <col min="1293" max="1293" width="10.75" customWidth="1"/>
    <col min="1294" max="1294" width="8.875" customWidth="1"/>
    <col min="1295" max="1295" width="10.25" customWidth="1"/>
    <col min="1299" max="1299" width="10.625" customWidth="1"/>
    <col min="1300" max="1300" width="7.875" customWidth="1"/>
    <col min="1302" max="1302" width="10.75" customWidth="1"/>
    <col min="1537" max="1537" width="8.625" customWidth="1"/>
    <col min="1538" max="1538" width="9.25" customWidth="1"/>
    <col min="1539" max="1539" width="7.375" customWidth="1"/>
    <col min="1540" max="1540" width="6.625" customWidth="1"/>
    <col min="1541" max="1543" width="6.875" customWidth="1"/>
    <col min="1544" max="1544" width="9.375" customWidth="1"/>
    <col min="1545" max="1546" width="9.25" customWidth="1"/>
    <col min="1547" max="1547" width="9.125" customWidth="1"/>
    <col min="1549" max="1549" width="10.75" customWidth="1"/>
    <col min="1550" max="1550" width="8.875" customWidth="1"/>
    <col min="1551" max="1551" width="10.25" customWidth="1"/>
    <col min="1555" max="1555" width="10.625" customWidth="1"/>
    <col min="1556" max="1556" width="7.875" customWidth="1"/>
    <col min="1558" max="1558" width="10.75" customWidth="1"/>
    <col min="1793" max="1793" width="8.625" customWidth="1"/>
    <col min="1794" max="1794" width="9.25" customWidth="1"/>
    <col min="1795" max="1795" width="7.375" customWidth="1"/>
    <col min="1796" max="1796" width="6.625" customWidth="1"/>
    <col min="1797" max="1799" width="6.875" customWidth="1"/>
    <col min="1800" max="1800" width="9.375" customWidth="1"/>
    <col min="1801" max="1802" width="9.25" customWidth="1"/>
    <col min="1803" max="1803" width="9.125" customWidth="1"/>
    <col min="1805" max="1805" width="10.75" customWidth="1"/>
    <col min="1806" max="1806" width="8.875" customWidth="1"/>
    <col min="1807" max="1807" width="10.25" customWidth="1"/>
    <col min="1811" max="1811" width="10.625" customWidth="1"/>
    <col min="1812" max="1812" width="7.875" customWidth="1"/>
    <col min="1814" max="1814" width="10.75" customWidth="1"/>
    <col min="2049" max="2049" width="8.625" customWidth="1"/>
    <col min="2050" max="2050" width="9.25" customWidth="1"/>
    <col min="2051" max="2051" width="7.375" customWidth="1"/>
    <col min="2052" max="2052" width="6.625" customWidth="1"/>
    <col min="2053" max="2055" width="6.875" customWidth="1"/>
    <col min="2056" max="2056" width="9.375" customWidth="1"/>
    <col min="2057" max="2058" width="9.25" customWidth="1"/>
    <col min="2059" max="2059" width="9.125" customWidth="1"/>
    <col min="2061" max="2061" width="10.75" customWidth="1"/>
    <col min="2062" max="2062" width="8.875" customWidth="1"/>
    <col min="2063" max="2063" width="10.25" customWidth="1"/>
    <col min="2067" max="2067" width="10.625" customWidth="1"/>
    <col min="2068" max="2068" width="7.875" customWidth="1"/>
    <col min="2070" max="2070" width="10.75" customWidth="1"/>
    <col min="2305" max="2305" width="8.625" customWidth="1"/>
    <col min="2306" max="2306" width="9.25" customWidth="1"/>
    <col min="2307" max="2307" width="7.375" customWidth="1"/>
    <col min="2308" max="2308" width="6.625" customWidth="1"/>
    <col min="2309" max="2311" width="6.875" customWidth="1"/>
    <col min="2312" max="2312" width="9.375" customWidth="1"/>
    <col min="2313" max="2314" width="9.25" customWidth="1"/>
    <col min="2315" max="2315" width="9.125" customWidth="1"/>
    <col min="2317" max="2317" width="10.75" customWidth="1"/>
    <col min="2318" max="2318" width="8.875" customWidth="1"/>
    <col min="2319" max="2319" width="10.25" customWidth="1"/>
    <col min="2323" max="2323" width="10.625" customWidth="1"/>
    <col min="2324" max="2324" width="7.875" customWidth="1"/>
    <col min="2326" max="2326" width="10.75" customWidth="1"/>
    <col min="2561" max="2561" width="8.625" customWidth="1"/>
    <col min="2562" max="2562" width="9.25" customWidth="1"/>
    <col min="2563" max="2563" width="7.375" customWidth="1"/>
    <col min="2564" max="2564" width="6.625" customWidth="1"/>
    <col min="2565" max="2567" width="6.875" customWidth="1"/>
    <col min="2568" max="2568" width="9.375" customWidth="1"/>
    <col min="2569" max="2570" width="9.25" customWidth="1"/>
    <col min="2571" max="2571" width="9.125" customWidth="1"/>
    <col min="2573" max="2573" width="10.75" customWidth="1"/>
    <col min="2574" max="2574" width="8.875" customWidth="1"/>
    <col min="2575" max="2575" width="10.25" customWidth="1"/>
    <col min="2579" max="2579" width="10.625" customWidth="1"/>
    <col min="2580" max="2580" width="7.875" customWidth="1"/>
    <col min="2582" max="2582" width="10.75" customWidth="1"/>
    <col min="2817" max="2817" width="8.625" customWidth="1"/>
    <col min="2818" max="2818" width="9.25" customWidth="1"/>
    <col min="2819" max="2819" width="7.375" customWidth="1"/>
    <col min="2820" max="2820" width="6.625" customWidth="1"/>
    <col min="2821" max="2823" width="6.875" customWidth="1"/>
    <col min="2824" max="2824" width="9.375" customWidth="1"/>
    <col min="2825" max="2826" width="9.25" customWidth="1"/>
    <col min="2827" max="2827" width="9.125" customWidth="1"/>
    <col min="2829" max="2829" width="10.75" customWidth="1"/>
    <col min="2830" max="2830" width="8.875" customWidth="1"/>
    <col min="2831" max="2831" width="10.25" customWidth="1"/>
    <col min="2835" max="2835" width="10.625" customWidth="1"/>
    <col min="2836" max="2836" width="7.875" customWidth="1"/>
    <col min="2838" max="2838" width="10.75" customWidth="1"/>
    <col min="3073" max="3073" width="8.625" customWidth="1"/>
    <col min="3074" max="3074" width="9.25" customWidth="1"/>
    <col min="3075" max="3075" width="7.375" customWidth="1"/>
    <col min="3076" max="3076" width="6.625" customWidth="1"/>
    <col min="3077" max="3079" width="6.875" customWidth="1"/>
    <col min="3080" max="3080" width="9.375" customWidth="1"/>
    <col min="3081" max="3082" width="9.25" customWidth="1"/>
    <col min="3083" max="3083" width="9.125" customWidth="1"/>
    <col min="3085" max="3085" width="10.75" customWidth="1"/>
    <col min="3086" max="3086" width="8.875" customWidth="1"/>
    <col min="3087" max="3087" width="10.25" customWidth="1"/>
    <col min="3091" max="3091" width="10.625" customWidth="1"/>
    <col min="3092" max="3092" width="7.875" customWidth="1"/>
    <col min="3094" max="3094" width="10.75" customWidth="1"/>
    <col min="3329" max="3329" width="8.625" customWidth="1"/>
    <col min="3330" max="3330" width="9.25" customWidth="1"/>
    <col min="3331" max="3331" width="7.375" customWidth="1"/>
    <col min="3332" max="3332" width="6.625" customWidth="1"/>
    <col min="3333" max="3335" width="6.875" customWidth="1"/>
    <col min="3336" max="3336" width="9.375" customWidth="1"/>
    <col min="3337" max="3338" width="9.25" customWidth="1"/>
    <col min="3339" max="3339" width="9.125" customWidth="1"/>
    <col min="3341" max="3341" width="10.75" customWidth="1"/>
    <col min="3342" max="3342" width="8.875" customWidth="1"/>
    <col min="3343" max="3343" width="10.25" customWidth="1"/>
    <col min="3347" max="3347" width="10.625" customWidth="1"/>
    <col min="3348" max="3348" width="7.875" customWidth="1"/>
    <col min="3350" max="3350" width="10.75" customWidth="1"/>
    <col min="3585" max="3585" width="8.625" customWidth="1"/>
    <col min="3586" max="3586" width="9.25" customWidth="1"/>
    <col min="3587" max="3587" width="7.375" customWidth="1"/>
    <col min="3588" max="3588" width="6.625" customWidth="1"/>
    <col min="3589" max="3591" width="6.875" customWidth="1"/>
    <col min="3592" max="3592" width="9.375" customWidth="1"/>
    <col min="3593" max="3594" width="9.25" customWidth="1"/>
    <col min="3595" max="3595" width="9.125" customWidth="1"/>
    <col min="3597" max="3597" width="10.75" customWidth="1"/>
    <col min="3598" max="3598" width="8.875" customWidth="1"/>
    <col min="3599" max="3599" width="10.25" customWidth="1"/>
    <col min="3603" max="3603" width="10.625" customWidth="1"/>
    <col min="3604" max="3604" width="7.875" customWidth="1"/>
    <col min="3606" max="3606" width="10.75" customWidth="1"/>
    <col min="3841" max="3841" width="8.625" customWidth="1"/>
    <col min="3842" max="3842" width="9.25" customWidth="1"/>
    <col min="3843" max="3843" width="7.375" customWidth="1"/>
    <col min="3844" max="3844" width="6.625" customWidth="1"/>
    <col min="3845" max="3847" width="6.875" customWidth="1"/>
    <col min="3848" max="3848" width="9.375" customWidth="1"/>
    <col min="3849" max="3850" width="9.25" customWidth="1"/>
    <col min="3851" max="3851" width="9.125" customWidth="1"/>
    <col min="3853" max="3853" width="10.75" customWidth="1"/>
    <col min="3854" max="3854" width="8.875" customWidth="1"/>
    <col min="3855" max="3855" width="10.25" customWidth="1"/>
    <col min="3859" max="3859" width="10.625" customWidth="1"/>
    <col min="3860" max="3860" width="7.875" customWidth="1"/>
    <col min="3862" max="3862" width="10.75" customWidth="1"/>
    <col min="4097" max="4097" width="8.625" customWidth="1"/>
    <col min="4098" max="4098" width="9.25" customWidth="1"/>
    <col min="4099" max="4099" width="7.375" customWidth="1"/>
    <col min="4100" max="4100" width="6.625" customWidth="1"/>
    <col min="4101" max="4103" width="6.875" customWidth="1"/>
    <col min="4104" max="4104" width="9.375" customWidth="1"/>
    <col min="4105" max="4106" width="9.25" customWidth="1"/>
    <col min="4107" max="4107" width="9.125" customWidth="1"/>
    <col min="4109" max="4109" width="10.75" customWidth="1"/>
    <col min="4110" max="4110" width="8.875" customWidth="1"/>
    <col min="4111" max="4111" width="10.25" customWidth="1"/>
    <col min="4115" max="4115" width="10.625" customWidth="1"/>
    <col min="4116" max="4116" width="7.875" customWidth="1"/>
    <col min="4118" max="4118" width="10.75" customWidth="1"/>
    <col min="4353" max="4353" width="8.625" customWidth="1"/>
    <col min="4354" max="4354" width="9.25" customWidth="1"/>
    <col min="4355" max="4355" width="7.375" customWidth="1"/>
    <col min="4356" max="4356" width="6.625" customWidth="1"/>
    <col min="4357" max="4359" width="6.875" customWidth="1"/>
    <col min="4360" max="4360" width="9.375" customWidth="1"/>
    <col min="4361" max="4362" width="9.25" customWidth="1"/>
    <col min="4363" max="4363" width="9.125" customWidth="1"/>
    <col min="4365" max="4365" width="10.75" customWidth="1"/>
    <col min="4366" max="4366" width="8.875" customWidth="1"/>
    <col min="4367" max="4367" width="10.25" customWidth="1"/>
    <col min="4371" max="4371" width="10.625" customWidth="1"/>
    <col min="4372" max="4372" width="7.875" customWidth="1"/>
    <col min="4374" max="4374" width="10.75" customWidth="1"/>
    <col min="4609" max="4609" width="8.625" customWidth="1"/>
    <col min="4610" max="4610" width="9.25" customWidth="1"/>
    <col min="4611" max="4611" width="7.375" customWidth="1"/>
    <col min="4612" max="4612" width="6.625" customWidth="1"/>
    <col min="4613" max="4615" width="6.875" customWidth="1"/>
    <col min="4616" max="4616" width="9.375" customWidth="1"/>
    <col min="4617" max="4618" width="9.25" customWidth="1"/>
    <col min="4619" max="4619" width="9.125" customWidth="1"/>
    <col min="4621" max="4621" width="10.75" customWidth="1"/>
    <col min="4622" max="4622" width="8.875" customWidth="1"/>
    <col min="4623" max="4623" width="10.25" customWidth="1"/>
    <col min="4627" max="4627" width="10.625" customWidth="1"/>
    <col min="4628" max="4628" width="7.875" customWidth="1"/>
    <col min="4630" max="4630" width="10.75" customWidth="1"/>
    <col min="4865" max="4865" width="8.625" customWidth="1"/>
    <col min="4866" max="4866" width="9.25" customWidth="1"/>
    <col min="4867" max="4867" width="7.375" customWidth="1"/>
    <col min="4868" max="4868" width="6.625" customWidth="1"/>
    <col min="4869" max="4871" width="6.875" customWidth="1"/>
    <col min="4872" max="4872" width="9.375" customWidth="1"/>
    <col min="4873" max="4874" width="9.25" customWidth="1"/>
    <col min="4875" max="4875" width="9.125" customWidth="1"/>
    <col min="4877" max="4877" width="10.75" customWidth="1"/>
    <col min="4878" max="4878" width="8.875" customWidth="1"/>
    <col min="4879" max="4879" width="10.25" customWidth="1"/>
    <col min="4883" max="4883" width="10.625" customWidth="1"/>
    <col min="4884" max="4884" width="7.875" customWidth="1"/>
    <col min="4886" max="4886" width="10.75" customWidth="1"/>
    <col min="5121" max="5121" width="8.625" customWidth="1"/>
    <col min="5122" max="5122" width="9.25" customWidth="1"/>
    <col min="5123" max="5123" width="7.375" customWidth="1"/>
    <col min="5124" max="5124" width="6.625" customWidth="1"/>
    <col min="5125" max="5127" width="6.875" customWidth="1"/>
    <col min="5128" max="5128" width="9.375" customWidth="1"/>
    <col min="5129" max="5130" width="9.25" customWidth="1"/>
    <col min="5131" max="5131" width="9.125" customWidth="1"/>
    <col min="5133" max="5133" width="10.75" customWidth="1"/>
    <col min="5134" max="5134" width="8.875" customWidth="1"/>
    <col min="5135" max="5135" width="10.25" customWidth="1"/>
    <col min="5139" max="5139" width="10.625" customWidth="1"/>
    <col min="5140" max="5140" width="7.875" customWidth="1"/>
    <col min="5142" max="5142" width="10.75" customWidth="1"/>
    <col min="5377" max="5377" width="8.625" customWidth="1"/>
    <col min="5378" max="5378" width="9.25" customWidth="1"/>
    <col min="5379" max="5379" width="7.375" customWidth="1"/>
    <col min="5380" max="5380" width="6.625" customWidth="1"/>
    <col min="5381" max="5383" width="6.875" customWidth="1"/>
    <col min="5384" max="5384" width="9.375" customWidth="1"/>
    <col min="5385" max="5386" width="9.25" customWidth="1"/>
    <col min="5387" max="5387" width="9.125" customWidth="1"/>
    <col min="5389" max="5389" width="10.75" customWidth="1"/>
    <col min="5390" max="5390" width="8.875" customWidth="1"/>
    <col min="5391" max="5391" width="10.25" customWidth="1"/>
    <col min="5395" max="5395" width="10.625" customWidth="1"/>
    <col min="5396" max="5396" width="7.875" customWidth="1"/>
    <col min="5398" max="5398" width="10.75" customWidth="1"/>
    <col min="5633" max="5633" width="8.625" customWidth="1"/>
    <col min="5634" max="5634" width="9.25" customWidth="1"/>
    <col min="5635" max="5635" width="7.375" customWidth="1"/>
    <col min="5636" max="5636" width="6.625" customWidth="1"/>
    <col min="5637" max="5639" width="6.875" customWidth="1"/>
    <col min="5640" max="5640" width="9.375" customWidth="1"/>
    <col min="5641" max="5642" width="9.25" customWidth="1"/>
    <col min="5643" max="5643" width="9.125" customWidth="1"/>
    <col min="5645" max="5645" width="10.75" customWidth="1"/>
    <col min="5646" max="5646" width="8.875" customWidth="1"/>
    <col min="5647" max="5647" width="10.25" customWidth="1"/>
    <col min="5651" max="5651" width="10.625" customWidth="1"/>
    <col min="5652" max="5652" width="7.875" customWidth="1"/>
    <col min="5654" max="5654" width="10.75" customWidth="1"/>
    <col min="5889" max="5889" width="8.625" customWidth="1"/>
    <col min="5890" max="5890" width="9.25" customWidth="1"/>
    <col min="5891" max="5891" width="7.375" customWidth="1"/>
    <col min="5892" max="5892" width="6.625" customWidth="1"/>
    <col min="5893" max="5895" width="6.875" customWidth="1"/>
    <col min="5896" max="5896" width="9.375" customWidth="1"/>
    <col min="5897" max="5898" width="9.25" customWidth="1"/>
    <col min="5899" max="5899" width="9.125" customWidth="1"/>
    <col min="5901" max="5901" width="10.75" customWidth="1"/>
    <col min="5902" max="5902" width="8.875" customWidth="1"/>
    <col min="5903" max="5903" width="10.25" customWidth="1"/>
    <col min="5907" max="5907" width="10.625" customWidth="1"/>
    <col min="5908" max="5908" width="7.875" customWidth="1"/>
    <col min="5910" max="5910" width="10.75" customWidth="1"/>
    <col min="6145" max="6145" width="8.625" customWidth="1"/>
    <col min="6146" max="6146" width="9.25" customWidth="1"/>
    <col min="6147" max="6147" width="7.375" customWidth="1"/>
    <col min="6148" max="6148" width="6.625" customWidth="1"/>
    <col min="6149" max="6151" width="6.875" customWidth="1"/>
    <col min="6152" max="6152" width="9.375" customWidth="1"/>
    <col min="6153" max="6154" width="9.25" customWidth="1"/>
    <col min="6155" max="6155" width="9.125" customWidth="1"/>
    <col min="6157" max="6157" width="10.75" customWidth="1"/>
    <col min="6158" max="6158" width="8.875" customWidth="1"/>
    <col min="6159" max="6159" width="10.25" customWidth="1"/>
    <col min="6163" max="6163" width="10.625" customWidth="1"/>
    <col min="6164" max="6164" width="7.875" customWidth="1"/>
    <col min="6166" max="6166" width="10.75" customWidth="1"/>
    <col min="6401" max="6401" width="8.625" customWidth="1"/>
    <col min="6402" max="6402" width="9.25" customWidth="1"/>
    <col min="6403" max="6403" width="7.375" customWidth="1"/>
    <col min="6404" max="6404" width="6.625" customWidth="1"/>
    <col min="6405" max="6407" width="6.875" customWidth="1"/>
    <col min="6408" max="6408" width="9.375" customWidth="1"/>
    <col min="6409" max="6410" width="9.25" customWidth="1"/>
    <col min="6411" max="6411" width="9.125" customWidth="1"/>
    <col min="6413" max="6413" width="10.75" customWidth="1"/>
    <col min="6414" max="6414" width="8.875" customWidth="1"/>
    <col min="6415" max="6415" width="10.25" customWidth="1"/>
    <col min="6419" max="6419" width="10.625" customWidth="1"/>
    <col min="6420" max="6420" width="7.875" customWidth="1"/>
    <col min="6422" max="6422" width="10.75" customWidth="1"/>
    <col min="6657" max="6657" width="8.625" customWidth="1"/>
    <col min="6658" max="6658" width="9.25" customWidth="1"/>
    <col min="6659" max="6659" width="7.375" customWidth="1"/>
    <col min="6660" max="6660" width="6.625" customWidth="1"/>
    <col min="6661" max="6663" width="6.875" customWidth="1"/>
    <col min="6664" max="6664" width="9.375" customWidth="1"/>
    <col min="6665" max="6666" width="9.25" customWidth="1"/>
    <col min="6667" max="6667" width="9.125" customWidth="1"/>
    <col min="6669" max="6669" width="10.75" customWidth="1"/>
    <col min="6670" max="6670" width="8.875" customWidth="1"/>
    <col min="6671" max="6671" width="10.25" customWidth="1"/>
    <col min="6675" max="6675" width="10.625" customWidth="1"/>
    <col min="6676" max="6676" width="7.875" customWidth="1"/>
    <col min="6678" max="6678" width="10.75" customWidth="1"/>
    <col min="6913" max="6913" width="8.625" customWidth="1"/>
    <col min="6914" max="6914" width="9.25" customWidth="1"/>
    <col min="6915" max="6915" width="7.375" customWidth="1"/>
    <col min="6916" max="6916" width="6.625" customWidth="1"/>
    <col min="6917" max="6919" width="6.875" customWidth="1"/>
    <col min="6920" max="6920" width="9.375" customWidth="1"/>
    <col min="6921" max="6922" width="9.25" customWidth="1"/>
    <col min="6923" max="6923" width="9.125" customWidth="1"/>
    <col min="6925" max="6925" width="10.75" customWidth="1"/>
    <col min="6926" max="6926" width="8.875" customWidth="1"/>
    <col min="6927" max="6927" width="10.25" customWidth="1"/>
    <col min="6931" max="6931" width="10.625" customWidth="1"/>
    <col min="6932" max="6932" width="7.875" customWidth="1"/>
    <col min="6934" max="6934" width="10.75" customWidth="1"/>
    <col min="7169" max="7169" width="8.625" customWidth="1"/>
    <col min="7170" max="7170" width="9.25" customWidth="1"/>
    <col min="7171" max="7171" width="7.375" customWidth="1"/>
    <col min="7172" max="7172" width="6.625" customWidth="1"/>
    <col min="7173" max="7175" width="6.875" customWidth="1"/>
    <col min="7176" max="7176" width="9.375" customWidth="1"/>
    <col min="7177" max="7178" width="9.25" customWidth="1"/>
    <col min="7179" max="7179" width="9.125" customWidth="1"/>
    <col min="7181" max="7181" width="10.75" customWidth="1"/>
    <col min="7182" max="7182" width="8.875" customWidth="1"/>
    <col min="7183" max="7183" width="10.25" customWidth="1"/>
    <col min="7187" max="7187" width="10.625" customWidth="1"/>
    <col min="7188" max="7188" width="7.875" customWidth="1"/>
    <col min="7190" max="7190" width="10.75" customWidth="1"/>
    <col min="7425" max="7425" width="8.625" customWidth="1"/>
    <col min="7426" max="7426" width="9.25" customWidth="1"/>
    <col min="7427" max="7427" width="7.375" customWidth="1"/>
    <col min="7428" max="7428" width="6.625" customWidth="1"/>
    <col min="7429" max="7431" width="6.875" customWidth="1"/>
    <col min="7432" max="7432" width="9.375" customWidth="1"/>
    <col min="7433" max="7434" width="9.25" customWidth="1"/>
    <col min="7435" max="7435" width="9.125" customWidth="1"/>
    <col min="7437" max="7437" width="10.75" customWidth="1"/>
    <col min="7438" max="7438" width="8.875" customWidth="1"/>
    <col min="7439" max="7439" width="10.25" customWidth="1"/>
    <col min="7443" max="7443" width="10.625" customWidth="1"/>
    <col min="7444" max="7444" width="7.875" customWidth="1"/>
    <col min="7446" max="7446" width="10.75" customWidth="1"/>
    <col min="7681" max="7681" width="8.625" customWidth="1"/>
    <col min="7682" max="7682" width="9.25" customWidth="1"/>
    <col min="7683" max="7683" width="7.375" customWidth="1"/>
    <col min="7684" max="7684" width="6.625" customWidth="1"/>
    <col min="7685" max="7687" width="6.875" customWidth="1"/>
    <col min="7688" max="7688" width="9.375" customWidth="1"/>
    <col min="7689" max="7690" width="9.25" customWidth="1"/>
    <col min="7691" max="7691" width="9.125" customWidth="1"/>
    <col min="7693" max="7693" width="10.75" customWidth="1"/>
    <col min="7694" max="7694" width="8.875" customWidth="1"/>
    <col min="7695" max="7695" width="10.25" customWidth="1"/>
    <col min="7699" max="7699" width="10.625" customWidth="1"/>
    <col min="7700" max="7700" width="7.875" customWidth="1"/>
    <col min="7702" max="7702" width="10.75" customWidth="1"/>
    <col min="7937" max="7937" width="8.625" customWidth="1"/>
    <col min="7938" max="7938" width="9.25" customWidth="1"/>
    <col min="7939" max="7939" width="7.375" customWidth="1"/>
    <col min="7940" max="7940" width="6.625" customWidth="1"/>
    <col min="7941" max="7943" width="6.875" customWidth="1"/>
    <col min="7944" max="7944" width="9.375" customWidth="1"/>
    <col min="7945" max="7946" width="9.25" customWidth="1"/>
    <col min="7947" max="7947" width="9.125" customWidth="1"/>
    <col min="7949" max="7949" width="10.75" customWidth="1"/>
    <col min="7950" max="7950" width="8.875" customWidth="1"/>
    <col min="7951" max="7951" width="10.25" customWidth="1"/>
    <col min="7955" max="7955" width="10.625" customWidth="1"/>
    <col min="7956" max="7956" width="7.875" customWidth="1"/>
    <col min="7958" max="7958" width="10.75" customWidth="1"/>
    <col min="8193" max="8193" width="8.625" customWidth="1"/>
    <col min="8194" max="8194" width="9.25" customWidth="1"/>
    <col min="8195" max="8195" width="7.375" customWidth="1"/>
    <col min="8196" max="8196" width="6.625" customWidth="1"/>
    <col min="8197" max="8199" width="6.875" customWidth="1"/>
    <col min="8200" max="8200" width="9.375" customWidth="1"/>
    <col min="8201" max="8202" width="9.25" customWidth="1"/>
    <col min="8203" max="8203" width="9.125" customWidth="1"/>
    <col min="8205" max="8205" width="10.75" customWidth="1"/>
    <col min="8206" max="8206" width="8.875" customWidth="1"/>
    <col min="8207" max="8207" width="10.25" customWidth="1"/>
    <col min="8211" max="8211" width="10.625" customWidth="1"/>
    <col min="8212" max="8212" width="7.875" customWidth="1"/>
    <col min="8214" max="8214" width="10.75" customWidth="1"/>
    <col min="8449" max="8449" width="8.625" customWidth="1"/>
    <col min="8450" max="8450" width="9.25" customWidth="1"/>
    <col min="8451" max="8451" width="7.375" customWidth="1"/>
    <col min="8452" max="8452" width="6.625" customWidth="1"/>
    <col min="8453" max="8455" width="6.875" customWidth="1"/>
    <col min="8456" max="8456" width="9.375" customWidth="1"/>
    <col min="8457" max="8458" width="9.25" customWidth="1"/>
    <col min="8459" max="8459" width="9.125" customWidth="1"/>
    <col min="8461" max="8461" width="10.75" customWidth="1"/>
    <col min="8462" max="8462" width="8.875" customWidth="1"/>
    <col min="8463" max="8463" width="10.25" customWidth="1"/>
    <col min="8467" max="8467" width="10.625" customWidth="1"/>
    <col min="8468" max="8468" width="7.875" customWidth="1"/>
    <col min="8470" max="8470" width="10.75" customWidth="1"/>
    <col min="8705" max="8705" width="8.625" customWidth="1"/>
    <col min="8706" max="8706" width="9.25" customWidth="1"/>
    <col min="8707" max="8707" width="7.375" customWidth="1"/>
    <col min="8708" max="8708" width="6.625" customWidth="1"/>
    <col min="8709" max="8711" width="6.875" customWidth="1"/>
    <col min="8712" max="8712" width="9.375" customWidth="1"/>
    <col min="8713" max="8714" width="9.25" customWidth="1"/>
    <col min="8715" max="8715" width="9.125" customWidth="1"/>
    <col min="8717" max="8717" width="10.75" customWidth="1"/>
    <col min="8718" max="8718" width="8.875" customWidth="1"/>
    <col min="8719" max="8719" width="10.25" customWidth="1"/>
    <col min="8723" max="8723" width="10.625" customWidth="1"/>
    <col min="8724" max="8724" width="7.875" customWidth="1"/>
    <col min="8726" max="8726" width="10.75" customWidth="1"/>
    <col min="8961" max="8961" width="8.625" customWidth="1"/>
    <col min="8962" max="8962" width="9.25" customWidth="1"/>
    <col min="8963" max="8963" width="7.375" customWidth="1"/>
    <col min="8964" max="8964" width="6.625" customWidth="1"/>
    <col min="8965" max="8967" width="6.875" customWidth="1"/>
    <col min="8968" max="8968" width="9.375" customWidth="1"/>
    <col min="8969" max="8970" width="9.25" customWidth="1"/>
    <col min="8971" max="8971" width="9.125" customWidth="1"/>
    <col min="8973" max="8973" width="10.75" customWidth="1"/>
    <col min="8974" max="8974" width="8.875" customWidth="1"/>
    <col min="8975" max="8975" width="10.25" customWidth="1"/>
    <col min="8979" max="8979" width="10.625" customWidth="1"/>
    <col min="8980" max="8980" width="7.875" customWidth="1"/>
    <col min="8982" max="8982" width="10.75" customWidth="1"/>
    <col min="9217" max="9217" width="8.625" customWidth="1"/>
    <col min="9218" max="9218" width="9.25" customWidth="1"/>
    <col min="9219" max="9219" width="7.375" customWidth="1"/>
    <col min="9220" max="9220" width="6.625" customWidth="1"/>
    <col min="9221" max="9223" width="6.875" customWidth="1"/>
    <col min="9224" max="9224" width="9.375" customWidth="1"/>
    <col min="9225" max="9226" width="9.25" customWidth="1"/>
    <col min="9227" max="9227" width="9.125" customWidth="1"/>
    <col min="9229" max="9229" width="10.75" customWidth="1"/>
    <col min="9230" max="9230" width="8.875" customWidth="1"/>
    <col min="9231" max="9231" width="10.25" customWidth="1"/>
    <col min="9235" max="9235" width="10.625" customWidth="1"/>
    <col min="9236" max="9236" width="7.875" customWidth="1"/>
    <col min="9238" max="9238" width="10.75" customWidth="1"/>
    <col min="9473" max="9473" width="8.625" customWidth="1"/>
    <col min="9474" max="9474" width="9.25" customWidth="1"/>
    <col min="9475" max="9475" width="7.375" customWidth="1"/>
    <col min="9476" max="9476" width="6.625" customWidth="1"/>
    <col min="9477" max="9479" width="6.875" customWidth="1"/>
    <col min="9480" max="9480" width="9.375" customWidth="1"/>
    <col min="9481" max="9482" width="9.25" customWidth="1"/>
    <col min="9483" max="9483" width="9.125" customWidth="1"/>
    <col min="9485" max="9485" width="10.75" customWidth="1"/>
    <col min="9486" max="9486" width="8.875" customWidth="1"/>
    <col min="9487" max="9487" width="10.25" customWidth="1"/>
    <col min="9491" max="9491" width="10.625" customWidth="1"/>
    <col min="9492" max="9492" width="7.875" customWidth="1"/>
    <col min="9494" max="9494" width="10.75" customWidth="1"/>
    <col min="9729" max="9729" width="8.625" customWidth="1"/>
    <col min="9730" max="9730" width="9.25" customWidth="1"/>
    <col min="9731" max="9731" width="7.375" customWidth="1"/>
    <col min="9732" max="9732" width="6.625" customWidth="1"/>
    <col min="9733" max="9735" width="6.875" customWidth="1"/>
    <col min="9736" max="9736" width="9.375" customWidth="1"/>
    <col min="9737" max="9738" width="9.25" customWidth="1"/>
    <col min="9739" max="9739" width="9.125" customWidth="1"/>
    <col min="9741" max="9741" width="10.75" customWidth="1"/>
    <col min="9742" max="9742" width="8.875" customWidth="1"/>
    <col min="9743" max="9743" width="10.25" customWidth="1"/>
    <col min="9747" max="9747" width="10.625" customWidth="1"/>
    <col min="9748" max="9748" width="7.875" customWidth="1"/>
    <col min="9750" max="9750" width="10.75" customWidth="1"/>
    <col min="9985" max="9985" width="8.625" customWidth="1"/>
    <col min="9986" max="9986" width="9.25" customWidth="1"/>
    <col min="9987" max="9987" width="7.375" customWidth="1"/>
    <col min="9988" max="9988" width="6.625" customWidth="1"/>
    <col min="9989" max="9991" width="6.875" customWidth="1"/>
    <col min="9992" max="9992" width="9.375" customWidth="1"/>
    <col min="9993" max="9994" width="9.25" customWidth="1"/>
    <col min="9995" max="9995" width="9.125" customWidth="1"/>
    <col min="9997" max="9997" width="10.75" customWidth="1"/>
    <col min="9998" max="9998" width="8.875" customWidth="1"/>
    <col min="9999" max="9999" width="10.25" customWidth="1"/>
    <col min="10003" max="10003" width="10.625" customWidth="1"/>
    <col min="10004" max="10004" width="7.875" customWidth="1"/>
    <col min="10006" max="10006" width="10.75" customWidth="1"/>
    <col min="10241" max="10241" width="8.625" customWidth="1"/>
    <col min="10242" max="10242" width="9.25" customWidth="1"/>
    <col min="10243" max="10243" width="7.375" customWidth="1"/>
    <col min="10244" max="10244" width="6.625" customWidth="1"/>
    <col min="10245" max="10247" width="6.875" customWidth="1"/>
    <col min="10248" max="10248" width="9.375" customWidth="1"/>
    <col min="10249" max="10250" width="9.25" customWidth="1"/>
    <col min="10251" max="10251" width="9.125" customWidth="1"/>
    <col min="10253" max="10253" width="10.75" customWidth="1"/>
    <col min="10254" max="10254" width="8.875" customWidth="1"/>
    <col min="10255" max="10255" width="10.25" customWidth="1"/>
    <col min="10259" max="10259" width="10.625" customWidth="1"/>
    <col min="10260" max="10260" width="7.875" customWidth="1"/>
    <col min="10262" max="10262" width="10.75" customWidth="1"/>
    <col min="10497" max="10497" width="8.625" customWidth="1"/>
    <col min="10498" max="10498" width="9.25" customWidth="1"/>
    <col min="10499" max="10499" width="7.375" customWidth="1"/>
    <col min="10500" max="10500" width="6.625" customWidth="1"/>
    <col min="10501" max="10503" width="6.875" customWidth="1"/>
    <col min="10504" max="10504" width="9.375" customWidth="1"/>
    <col min="10505" max="10506" width="9.25" customWidth="1"/>
    <col min="10507" max="10507" width="9.125" customWidth="1"/>
    <col min="10509" max="10509" width="10.75" customWidth="1"/>
    <col min="10510" max="10510" width="8.875" customWidth="1"/>
    <col min="10511" max="10511" width="10.25" customWidth="1"/>
    <col min="10515" max="10515" width="10.625" customWidth="1"/>
    <col min="10516" max="10516" width="7.875" customWidth="1"/>
    <col min="10518" max="10518" width="10.75" customWidth="1"/>
    <col min="10753" max="10753" width="8.625" customWidth="1"/>
    <col min="10754" max="10754" width="9.25" customWidth="1"/>
    <col min="10755" max="10755" width="7.375" customWidth="1"/>
    <col min="10756" max="10756" width="6.625" customWidth="1"/>
    <col min="10757" max="10759" width="6.875" customWidth="1"/>
    <col min="10760" max="10760" width="9.375" customWidth="1"/>
    <col min="10761" max="10762" width="9.25" customWidth="1"/>
    <col min="10763" max="10763" width="9.125" customWidth="1"/>
    <col min="10765" max="10765" width="10.75" customWidth="1"/>
    <col min="10766" max="10766" width="8.875" customWidth="1"/>
    <col min="10767" max="10767" width="10.25" customWidth="1"/>
    <col min="10771" max="10771" width="10.625" customWidth="1"/>
    <col min="10772" max="10772" width="7.875" customWidth="1"/>
    <col min="10774" max="10774" width="10.75" customWidth="1"/>
    <col min="11009" max="11009" width="8.625" customWidth="1"/>
    <col min="11010" max="11010" width="9.25" customWidth="1"/>
    <col min="11011" max="11011" width="7.375" customWidth="1"/>
    <col min="11012" max="11012" width="6.625" customWidth="1"/>
    <col min="11013" max="11015" width="6.875" customWidth="1"/>
    <col min="11016" max="11016" width="9.375" customWidth="1"/>
    <col min="11017" max="11018" width="9.25" customWidth="1"/>
    <col min="11019" max="11019" width="9.125" customWidth="1"/>
    <col min="11021" max="11021" width="10.75" customWidth="1"/>
    <col min="11022" max="11022" width="8.875" customWidth="1"/>
    <col min="11023" max="11023" width="10.25" customWidth="1"/>
    <col min="11027" max="11027" width="10.625" customWidth="1"/>
    <col min="11028" max="11028" width="7.875" customWidth="1"/>
    <col min="11030" max="11030" width="10.75" customWidth="1"/>
    <col min="11265" max="11265" width="8.625" customWidth="1"/>
    <col min="11266" max="11266" width="9.25" customWidth="1"/>
    <col min="11267" max="11267" width="7.375" customWidth="1"/>
    <col min="11268" max="11268" width="6.625" customWidth="1"/>
    <col min="11269" max="11271" width="6.875" customWidth="1"/>
    <col min="11272" max="11272" width="9.375" customWidth="1"/>
    <col min="11273" max="11274" width="9.25" customWidth="1"/>
    <col min="11275" max="11275" width="9.125" customWidth="1"/>
    <col min="11277" max="11277" width="10.75" customWidth="1"/>
    <col min="11278" max="11278" width="8.875" customWidth="1"/>
    <col min="11279" max="11279" width="10.25" customWidth="1"/>
    <col min="11283" max="11283" width="10.625" customWidth="1"/>
    <col min="11284" max="11284" width="7.875" customWidth="1"/>
    <col min="11286" max="11286" width="10.75" customWidth="1"/>
    <col min="11521" max="11521" width="8.625" customWidth="1"/>
    <col min="11522" max="11522" width="9.25" customWidth="1"/>
    <col min="11523" max="11523" width="7.375" customWidth="1"/>
    <col min="11524" max="11524" width="6.625" customWidth="1"/>
    <col min="11525" max="11527" width="6.875" customWidth="1"/>
    <col min="11528" max="11528" width="9.375" customWidth="1"/>
    <col min="11529" max="11530" width="9.25" customWidth="1"/>
    <col min="11531" max="11531" width="9.125" customWidth="1"/>
    <col min="11533" max="11533" width="10.75" customWidth="1"/>
    <col min="11534" max="11534" width="8.875" customWidth="1"/>
    <col min="11535" max="11535" width="10.25" customWidth="1"/>
    <col min="11539" max="11539" width="10.625" customWidth="1"/>
    <col min="11540" max="11540" width="7.875" customWidth="1"/>
    <col min="11542" max="11542" width="10.75" customWidth="1"/>
    <col min="11777" max="11777" width="8.625" customWidth="1"/>
    <col min="11778" max="11778" width="9.25" customWidth="1"/>
    <col min="11779" max="11779" width="7.375" customWidth="1"/>
    <col min="11780" max="11780" width="6.625" customWidth="1"/>
    <col min="11781" max="11783" width="6.875" customWidth="1"/>
    <col min="11784" max="11784" width="9.375" customWidth="1"/>
    <col min="11785" max="11786" width="9.25" customWidth="1"/>
    <col min="11787" max="11787" width="9.125" customWidth="1"/>
    <col min="11789" max="11789" width="10.75" customWidth="1"/>
    <col min="11790" max="11790" width="8.875" customWidth="1"/>
    <col min="11791" max="11791" width="10.25" customWidth="1"/>
    <col min="11795" max="11795" width="10.625" customWidth="1"/>
    <col min="11796" max="11796" width="7.875" customWidth="1"/>
    <col min="11798" max="11798" width="10.75" customWidth="1"/>
    <col min="12033" max="12033" width="8.625" customWidth="1"/>
    <col min="12034" max="12034" width="9.25" customWidth="1"/>
    <col min="12035" max="12035" width="7.375" customWidth="1"/>
    <col min="12036" max="12036" width="6.625" customWidth="1"/>
    <col min="12037" max="12039" width="6.875" customWidth="1"/>
    <col min="12040" max="12040" width="9.375" customWidth="1"/>
    <col min="12041" max="12042" width="9.25" customWidth="1"/>
    <col min="12043" max="12043" width="9.125" customWidth="1"/>
    <col min="12045" max="12045" width="10.75" customWidth="1"/>
    <col min="12046" max="12046" width="8.875" customWidth="1"/>
    <col min="12047" max="12047" width="10.25" customWidth="1"/>
    <col min="12051" max="12051" width="10.625" customWidth="1"/>
    <col min="12052" max="12052" width="7.875" customWidth="1"/>
    <col min="12054" max="12054" width="10.75" customWidth="1"/>
    <col min="12289" max="12289" width="8.625" customWidth="1"/>
    <col min="12290" max="12290" width="9.25" customWidth="1"/>
    <col min="12291" max="12291" width="7.375" customWidth="1"/>
    <col min="12292" max="12292" width="6.625" customWidth="1"/>
    <col min="12293" max="12295" width="6.875" customWidth="1"/>
    <col min="12296" max="12296" width="9.375" customWidth="1"/>
    <col min="12297" max="12298" width="9.25" customWidth="1"/>
    <col min="12299" max="12299" width="9.125" customWidth="1"/>
    <col min="12301" max="12301" width="10.75" customWidth="1"/>
    <col min="12302" max="12302" width="8.875" customWidth="1"/>
    <col min="12303" max="12303" width="10.25" customWidth="1"/>
    <col min="12307" max="12307" width="10.625" customWidth="1"/>
    <col min="12308" max="12308" width="7.875" customWidth="1"/>
    <col min="12310" max="12310" width="10.75" customWidth="1"/>
    <col min="12545" max="12545" width="8.625" customWidth="1"/>
    <col min="12546" max="12546" width="9.25" customWidth="1"/>
    <col min="12547" max="12547" width="7.375" customWidth="1"/>
    <col min="12548" max="12548" width="6.625" customWidth="1"/>
    <col min="12549" max="12551" width="6.875" customWidth="1"/>
    <col min="12552" max="12552" width="9.375" customWidth="1"/>
    <col min="12553" max="12554" width="9.25" customWidth="1"/>
    <col min="12555" max="12555" width="9.125" customWidth="1"/>
    <col min="12557" max="12557" width="10.75" customWidth="1"/>
    <col min="12558" max="12558" width="8.875" customWidth="1"/>
    <col min="12559" max="12559" width="10.25" customWidth="1"/>
    <col min="12563" max="12563" width="10.625" customWidth="1"/>
    <col min="12564" max="12564" width="7.875" customWidth="1"/>
    <col min="12566" max="12566" width="10.75" customWidth="1"/>
    <col min="12801" max="12801" width="8.625" customWidth="1"/>
    <col min="12802" max="12802" width="9.25" customWidth="1"/>
    <col min="12803" max="12803" width="7.375" customWidth="1"/>
    <col min="12804" max="12804" width="6.625" customWidth="1"/>
    <col min="12805" max="12807" width="6.875" customWidth="1"/>
    <col min="12808" max="12808" width="9.375" customWidth="1"/>
    <col min="12809" max="12810" width="9.25" customWidth="1"/>
    <col min="12811" max="12811" width="9.125" customWidth="1"/>
    <col min="12813" max="12813" width="10.75" customWidth="1"/>
    <col min="12814" max="12814" width="8.875" customWidth="1"/>
    <col min="12815" max="12815" width="10.25" customWidth="1"/>
    <col min="12819" max="12819" width="10.625" customWidth="1"/>
    <col min="12820" max="12820" width="7.875" customWidth="1"/>
    <col min="12822" max="12822" width="10.75" customWidth="1"/>
    <col min="13057" max="13057" width="8.625" customWidth="1"/>
    <col min="13058" max="13058" width="9.25" customWidth="1"/>
    <col min="13059" max="13059" width="7.375" customWidth="1"/>
    <col min="13060" max="13060" width="6.625" customWidth="1"/>
    <col min="13061" max="13063" width="6.875" customWidth="1"/>
    <col min="13064" max="13064" width="9.375" customWidth="1"/>
    <col min="13065" max="13066" width="9.25" customWidth="1"/>
    <col min="13067" max="13067" width="9.125" customWidth="1"/>
    <col min="13069" max="13069" width="10.75" customWidth="1"/>
    <col min="13070" max="13070" width="8.875" customWidth="1"/>
    <col min="13071" max="13071" width="10.25" customWidth="1"/>
    <col min="13075" max="13075" width="10.625" customWidth="1"/>
    <col min="13076" max="13076" width="7.875" customWidth="1"/>
    <col min="13078" max="13078" width="10.75" customWidth="1"/>
    <col min="13313" max="13313" width="8.625" customWidth="1"/>
    <col min="13314" max="13314" width="9.25" customWidth="1"/>
    <col min="13315" max="13315" width="7.375" customWidth="1"/>
    <col min="13316" max="13316" width="6.625" customWidth="1"/>
    <col min="13317" max="13319" width="6.875" customWidth="1"/>
    <col min="13320" max="13320" width="9.375" customWidth="1"/>
    <col min="13321" max="13322" width="9.25" customWidth="1"/>
    <col min="13323" max="13323" width="9.125" customWidth="1"/>
    <col min="13325" max="13325" width="10.75" customWidth="1"/>
    <col min="13326" max="13326" width="8.875" customWidth="1"/>
    <col min="13327" max="13327" width="10.25" customWidth="1"/>
    <col min="13331" max="13331" width="10.625" customWidth="1"/>
    <col min="13332" max="13332" width="7.875" customWidth="1"/>
    <col min="13334" max="13334" width="10.75" customWidth="1"/>
    <col min="13569" max="13569" width="8.625" customWidth="1"/>
    <col min="13570" max="13570" width="9.25" customWidth="1"/>
    <col min="13571" max="13571" width="7.375" customWidth="1"/>
    <col min="13572" max="13572" width="6.625" customWidth="1"/>
    <col min="13573" max="13575" width="6.875" customWidth="1"/>
    <col min="13576" max="13576" width="9.375" customWidth="1"/>
    <col min="13577" max="13578" width="9.25" customWidth="1"/>
    <col min="13579" max="13579" width="9.125" customWidth="1"/>
    <col min="13581" max="13581" width="10.75" customWidth="1"/>
    <col min="13582" max="13582" width="8.875" customWidth="1"/>
    <col min="13583" max="13583" width="10.25" customWidth="1"/>
    <col min="13587" max="13587" width="10.625" customWidth="1"/>
    <col min="13588" max="13588" width="7.875" customWidth="1"/>
    <col min="13590" max="13590" width="10.75" customWidth="1"/>
    <col min="13825" max="13825" width="8.625" customWidth="1"/>
    <col min="13826" max="13826" width="9.25" customWidth="1"/>
    <col min="13827" max="13827" width="7.375" customWidth="1"/>
    <col min="13828" max="13828" width="6.625" customWidth="1"/>
    <col min="13829" max="13831" width="6.875" customWidth="1"/>
    <col min="13832" max="13832" width="9.375" customWidth="1"/>
    <col min="13833" max="13834" width="9.25" customWidth="1"/>
    <col min="13835" max="13835" width="9.125" customWidth="1"/>
    <col min="13837" max="13837" width="10.75" customWidth="1"/>
    <col min="13838" max="13838" width="8.875" customWidth="1"/>
    <col min="13839" max="13839" width="10.25" customWidth="1"/>
    <col min="13843" max="13843" width="10.625" customWidth="1"/>
    <col min="13844" max="13844" width="7.875" customWidth="1"/>
    <col min="13846" max="13846" width="10.75" customWidth="1"/>
    <col min="14081" max="14081" width="8.625" customWidth="1"/>
    <col min="14082" max="14082" width="9.25" customWidth="1"/>
    <col min="14083" max="14083" width="7.375" customWidth="1"/>
    <col min="14084" max="14084" width="6.625" customWidth="1"/>
    <col min="14085" max="14087" width="6.875" customWidth="1"/>
    <col min="14088" max="14088" width="9.375" customWidth="1"/>
    <col min="14089" max="14090" width="9.25" customWidth="1"/>
    <col min="14091" max="14091" width="9.125" customWidth="1"/>
    <col min="14093" max="14093" width="10.75" customWidth="1"/>
    <col min="14094" max="14094" width="8.875" customWidth="1"/>
    <col min="14095" max="14095" width="10.25" customWidth="1"/>
    <col min="14099" max="14099" width="10.625" customWidth="1"/>
    <col min="14100" max="14100" width="7.875" customWidth="1"/>
    <col min="14102" max="14102" width="10.75" customWidth="1"/>
    <col min="14337" max="14337" width="8.625" customWidth="1"/>
    <col min="14338" max="14338" width="9.25" customWidth="1"/>
    <col min="14339" max="14339" width="7.375" customWidth="1"/>
    <col min="14340" max="14340" width="6.625" customWidth="1"/>
    <col min="14341" max="14343" width="6.875" customWidth="1"/>
    <col min="14344" max="14344" width="9.375" customWidth="1"/>
    <col min="14345" max="14346" width="9.25" customWidth="1"/>
    <col min="14347" max="14347" width="9.125" customWidth="1"/>
    <col min="14349" max="14349" width="10.75" customWidth="1"/>
    <col min="14350" max="14350" width="8.875" customWidth="1"/>
    <col min="14351" max="14351" width="10.25" customWidth="1"/>
    <col min="14355" max="14355" width="10.625" customWidth="1"/>
    <col min="14356" max="14356" width="7.875" customWidth="1"/>
    <col min="14358" max="14358" width="10.75" customWidth="1"/>
    <col min="14593" max="14593" width="8.625" customWidth="1"/>
    <col min="14594" max="14594" width="9.25" customWidth="1"/>
    <col min="14595" max="14595" width="7.375" customWidth="1"/>
    <col min="14596" max="14596" width="6.625" customWidth="1"/>
    <col min="14597" max="14599" width="6.875" customWidth="1"/>
    <col min="14600" max="14600" width="9.375" customWidth="1"/>
    <col min="14601" max="14602" width="9.25" customWidth="1"/>
    <col min="14603" max="14603" width="9.125" customWidth="1"/>
    <col min="14605" max="14605" width="10.75" customWidth="1"/>
    <col min="14606" max="14606" width="8.875" customWidth="1"/>
    <col min="14607" max="14607" width="10.25" customWidth="1"/>
    <col min="14611" max="14611" width="10.625" customWidth="1"/>
    <col min="14612" max="14612" width="7.875" customWidth="1"/>
    <col min="14614" max="14614" width="10.75" customWidth="1"/>
    <col min="14849" max="14849" width="8.625" customWidth="1"/>
    <col min="14850" max="14850" width="9.25" customWidth="1"/>
    <col min="14851" max="14851" width="7.375" customWidth="1"/>
    <col min="14852" max="14852" width="6.625" customWidth="1"/>
    <col min="14853" max="14855" width="6.875" customWidth="1"/>
    <col min="14856" max="14856" width="9.375" customWidth="1"/>
    <col min="14857" max="14858" width="9.25" customWidth="1"/>
    <col min="14859" max="14859" width="9.125" customWidth="1"/>
    <col min="14861" max="14861" width="10.75" customWidth="1"/>
    <col min="14862" max="14862" width="8.875" customWidth="1"/>
    <col min="14863" max="14863" width="10.25" customWidth="1"/>
    <col min="14867" max="14867" width="10.625" customWidth="1"/>
    <col min="14868" max="14868" width="7.875" customWidth="1"/>
    <col min="14870" max="14870" width="10.75" customWidth="1"/>
    <col min="15105" max="15105" width="8.625" customWidth="1"/>
    <col min="15106" max="15106" width="9.25" customWidth="1"/>
    <col min="15107" max="15107" width="7.375" customWidth="1"/>
    <col min="15108" max="15108" width="6.625" customWidth="1"/>
    <col min="15109" max="15111" width="6.875" customWidth="1"/>
    <col min="15112" max="15112" width="9.375" customWidth="1"/>
    <col min="15113" max="15114" width="9.25" customWidth="1"/>
    <col min="15115" max="15115" width="9.125" customWidth="1"/>
    <col min="15117" max="15117" width="10.75" customWidth="1"/>
    <col min="15118" max="15118" width="8.875" customWidth="1"/>
    <col min="15119" max="15119" width="10.25" customWidth="1"/>
    <col min="15123" max="15123" width="10.625" customWidth="1"/>
    <col min="15124" max="15124" width="7.875" customWidth="1"/>
    <col min="15126" max="15126" width="10.75" customWidth="1"/>
    <col min="15361" max="15361" width="8.625" customWidth="1"/>
    <col min="15362" max="15362" width="9.25" customWidth="1"/>
    <col min="15363" max="15363" width="7.375" customWidth="1"/>
    <col min="15364" max="15364" width="6.625" customWidth="1"/>
    <col min="15365" max="15367" width="6.875" customWidth="1"/>
    <col min="15368" max="15368" width="9.375" customWidth="1"/>
    <col min="15369" max="15370" width="9.25" customWidth="1"/>
    <col min="15371" max="15371" width="9.125" customWidth="1"/>
    <col min="15373" max="15373" width="10.75" customWidth="1"/>
    <col min="15374" max="15374" width="8.875" customWidth="1"/>
    <col min="15375" max="15375" width="10.25" customWidth="1"/>
    <col min="15379" max="15379" width="10.625" customWidth="1"/>
    <col min="15380" max="15380" width="7.875" customWidth="1"/>
    <col min="15382" max="15382" width="10.75" customWidth="1"/>
    <col min="15617" max="15617" width="8.625" customWidth="1"/>
    <col min="15618" max="15618" width="9.25" customWidth="1"/>
    <col min="15619" max="15619" width="7.375" customWidth="1"/>
    <col min="15620" max="15620" width="6.625" customWidth="1"/>
    <col min="15621" max="15623" width="6.875" customWidth="1"/>
    <col min="15624" max="15624" width="9.375" customWidth="1"/>
    <col min="15625" max="15626" width="9.25" customWidth="1"/>
    <col min="15627" max="15627" width="9.125" customWidth="1"/>
    <col min="15629" max="15629" width="10.75" customWidth="1"/>
    <col min="15630" max="15630" width="8.875" customWidth="1"/>
    <col min="15631" max="15631" width="10.25" customWidth="1"/>
    <col min="15635" max="15635" width="10.625" customWidth="1"/>
    <col min="15636" max="15636" width="7.875" customWidth="1"/>
    <col min="15638" max="15638" width="10.75" customWidth="1"/>
    <col min="15873" max="15873" width="8.625" customWidth="1"/>
    <col min="15874" max="15874" width="9.25" customWidth="1"/>
    <col min="15875" max="15875" width="7.375" customWidth="1"/>
    <col min="15876" max="15876" width="6.625" customWidth="1"/>
    <col min="15877" max="15879" width="6.875" customWidth="1"/>
    <col min="15880" max="15880" width="9.375" customWidth="1"/>
    <col min="15881" max="15882" width="9.25" customWidth="1"/>
    <col min="15883" max="15883" width="9.125" customWidth="1"/>
    <col min="15885" max="15885" width="10.75" customWidth="1"/>
    <col min="15886" max="15886" width="8.875" customWidth="1"/>
    <col min="15887" max="15887" width="10.25" customWidth="1"/>
    <col min="15891" max="15891" width="10.625" customWidth="1"/>
    <col min="15892" max="15892" width="7.875" customWidth="1"/>
    <col min="15894" max="15894" width="10.75" customWidth="1"/>
    <col min="16129" max="16129" width="8.625" customWidth="1"/>
    <col min="16130" max="16130" width="9.25" customWidth="1"/>
    <col min="16131" max="16131" width="7.375" customWidth="1"/>
    <col min="16132" max="16132" width="6.625" customWidth="1"/>
    <col min="16133" max="16135" width="6.875" customWidth="1"/>
    <col min="16136" max="16136" width="9.375" customWidth="1"/>
    <col min="16137" max="16138" width="9.25" customWidth="1"/>
    <col min="16139" max="16139" width="9.125" customWidth="1"/>
    <col min="16141" max="16141" width="10.75" customWidth="1"/>
    <col min="16142" max="16142" width="8.875" customWidth="1"/>
    <col min="16143" max="16143" width="10.25" customWidth="1"/>
    <col min="16147" max="16147" width="10.625" customWidth="1"/>
    <col min="16148" max="16148" width="7.875" customWidth="1"/>
    <col min="16150" max="16150" width="10.75" customWidth="1"/>
  </cols>
  <sheetData>
    <row r="1" spans="1:30" s="106" customFormat="1" ht="15" customHeight="1">
      <c r="A1" s="354"/>
      <c r="B1" s="354"/>
      <c r="C1" s="354"/>
      <c r="D1" s="354"/>
      <c r="E1" s="354"/>
      <c r="F1" s="354"/>
      <c r="G1" s="354"/>
      <c r="H1" s="354"/>
      <c r="I1" s="354"/>
      <c r="J1" s="354"/>
      <c r="K1" s="354"/>
      <c r="L1" s="354"/>
      <c r="M1" s="354"/>
      <c r="N1" s="354"/>
      <c r="O1" s="354"/>
      <c r="P1" s="129"/>
      <c r="Q1" s="129"/>
      <c r="R1" s="129"/>
      <c r="S1" s="129"/>
      <c r="T1" s="129"/>
      <c r="U1" s="129"/>
      <c r="V1" s="129"/>
      <c r="W1" s="129"/>
      <c r="X1" s="129"/>
      <c r="Y1" s="129"/>
      <c r="Z1" s="129"/>
      <c r="AA1" s="129"/>
      <c r="AB1" s="129"/>
      <c r="AC1" s="130"/>
    </row>
    <row r="2" spans="1:30" s="106" customFormat="1" ht="15" customHeight="1" thickBot="1">
      <c r="A2" s="364" t="s">
        <v>470</v>
      </c>
      <c r="B2" s="364"/>
      <c r="C2" s="364"/>
      <c r="D2" s="364"/>
      <c r="E2" s="364"/>
      <c r="F2" s="364"/>
      <c r="G2" s="364"/>
      <c r="H2" s="364"/>
      <c r="I2" s="364"/>
      <c r="J2" s="364"/>
      <c r="K2" s="364"/>
      <c r="L2" s="364"/>
      <c r="M2" s="364"/>
      <c r="N2" s="364"/>
      <c r="O2"/>
      <c r="P2" s="336" t="s">
        <v>471</v>
      </c>
      <c r="Q2" s="336"/>
      <c r="R2" s="126"/>
      <c r="S2" s="126"/>
      <c r="T2" s="126"/>
      <c r="U2" s="126"/>
      <c r="V2" s="126"/>
      <c r="W2" s="126"/>
      <c r="X2" s="126"/>
      <c r="Y2" s="126"/>
      <c r="Z2" s="126"/>
      <c r="AA2" s="126"/>
      <c r="AB2" s="126"/>
      <c r="AC2" s="126"/>
    </row>
    <row r="3" spans="1:30" s="106" customFormat="1" ht="15" customHeight="1" thickTop="1">
      <c r="A3" s="331" t="s">
        <v>472</v>
      </c>
      <c r="B3" s="331"/>
      <c r="C3" s="331" t="s">
        <v>473</v>
      </c>
      <c r="D3" s="331"/>
      <c r="E3"/>
      <c r="F3"/>
      <c r="G3" s="131"/>
      <c r="H3" s="131"/>
      <c r="I3" s="131"/>
      <c r="J3" s="131"/>
      <c r="K3"/>
      <c r="L3"/>
      <c r="M3"/>
      <c r="N3" s="18" t="s">
        <v>474</v>
      </c>
      <c r="O3" s="132"/>
      <c r="P3" s="361" t="s">
        <v>475</v>
      </c>
      <c r="Q3" s="336"/>
      <c r="R3" s="336" t="s">
        <v>476</v>
      </c>
      <c r="S3" s="331"/>
      <c r="T3" s="336" t="s">
        <v>477</v>
      </c>
      <c r="U3" s="331"/>
      <c r="V3" s="360" t="s">
        <v>478</v>
      </c>
      <c r="W3" s="361"/>
      <c r="X3" s="361" t="s">
        <v>479</v>
      </c>
      <c r="Y3" s="336"/>
      <c r="Z3" s="362" t="s">
        <v>480</v>
      </c>
      <c r="AA3" s="363"/>
      <c r="AB3" s="336" t="s">
        <v>481</v>
      </c>
      <c r="AC3" s="336"/>
    </row>
    <row r="4" spans="1:30" s="106" customFormat="1" ht="15" customHeight="1">
      <c r="A4" s="370"/>
      <c r="B4" s="370"/>
      <c r="C4" s="370"/>
      <c r="D4" s="370"/>
      <c r="E4"/>
      <c r="F4"/>
      <c r="G4"/>
      <c r="H4"/>
      <c r="I4"/>
      <c r="J4" s="15" t="s">
        <v>482</v>
      </c>
      <c r="K4" s="371" t="s">
        <v>1215</v>
      </c>
      <c r="L4" s="371"/>
      <c r="M4" s="372"/>
      <c r="N4" s="18" t="s">
        <v>483</v>
      </c>
      <c r="O4" s="133"/>
      <c r="P4" s="361" t="s">
        <v>484</v>
      </c>
      <c r="Q4" s="336"/>
      <c r="R4" s="336" t="s">
        <v>485</v>
      </c>
      <c r="S4" s="336"/>
      <c r="T4" s="336" t="s">
        <v>486</v>
      </c>
      <c r="U4" s="360"/>
      <c r="V4" s="336" t="s">
        <v>487</v>
      </c>
      <c r="W4" s="336"/>
      <c r="X4" s="361" t="s">
        <v>488</v>
      </c>
      <c r="Y4" s="336"/>
      <c r="Z4" s="336" t="s">
        <v>476</v>
      </c>
      <c r="AA4" s="336"/>
    </row>
    <row r="5" spans="1:30" s="106" customFormat="1" ht="15" customHeight="1">
      <c r="A5" s="365"/>
      <c r="B5" s="365"/>
      <c r="C5" s="365"/>
      <c r="D5" s="365"/>
      <c r="E5" s="366"/>
      <c r="F5"/>
      <c r="G5"/>
      <c r="H5"/>
      <c r="I5"/>
      <c r="J5"/>
      <c r="K5"/>
      <c r="L5"/>
      <c r="M5"/>
      <c r="N5" s="18" t="s">
        <v>489</v>
      </c>
      <c r="O5" s="18"/>
      <c r="R5" s="367" t="s">
        <v>490</v>
      </c>
      <c r="S5" s="368"/>
      <c r="T5" s="367" t="s">
        <v>491</v>
      </c>
      <c r="U5" s="368"/>
      <c r="V5" s="336" t="s">
        <v>492</v>
      </c>
      <c r="W5" s="336"/>
      <c r="X5" s="361" t="s">
        <v>493</v>
      </c>
      <c r="Y5" s="336"/>
      <c r="Z5" s="369" t="s">
        <v>494</v>
      </c>
      <c r="AA5" s="369"/>
    </row>
    <row r="6" spans="1:30" s="106" customFormat="1" ht="15" customHeight="1">
      <c r="A6" s="331" t="s">
        <v>495</v>
      </c>
      <c r="B6" s="331"/>
      <c r="C6" s="374" t="s">
        <v>496</v>
      </c>
      <c r="D6" s="331"/>
      <c r="E6" s="331" t="s">
        <v>497</v>
      </c>
      <c r="F6" s="331"/>
      <c r="G6" s="331"/>
      <c r="H6" s="331" t="s">
        <v>498</v>
      </c>
      <c r="I6" s="331"/>
      <c r="J6" s="331" t="s">
        <v>499</v>
      </c>
      <c r="K6" s="331"/>
      <c r="L6" s="331"/>
      <c r="M6" s="331"/>
      <c r="N6" s="120" t="s">
        <v>500</v>
      </c>
      <c r="O6" s="18" t="s">
        <v>501</v>
      </c>
      <c r="P6" s="361" t="s">
        <v>502</v>
      </c>
      <c r="Q6" s="336"/>
      <c r="R6" s="336" t="s">
        <v>503</v>
      </c>
      <c r="S6" s="336"/>
      <c r="T6" s="336" t="s">
        <v>478</v>
      </c>
      <c r="U6" s="336"/>
      <c r="V6" s="336" t="s">
        <v>504</v>
      </c>
      <c r="W6" s="336"/>
      <c r="X6" s="361" t="s">
        <v>505</v>
      </c>
      <c r="Y6" s="336"/>
      <c r="Z6" s="341" t="s">
        <v>506</v>
      </c>
      <c r="AA6" s="341"/>
    </row>
    <row r="7" spans="1:30" s="106" customFormat="1" ht="15" customHeight="1">
      <c r="A7" s="361"/>
      <c r="B7" s="336"/>
      <c r="C7" s="336" t="s">
        <v>535</v>
      </c>
      <c r="D7" s="331"/>
      <c r="E7" s="373"/>
      <c r="F7" s="373"/>
      <c r="G7" s="373"/>
      <c r="H7" s="331"/>
      <c r="I7" s="331"/>
      <c r="J7" s="253"/>
      <c r="K7" s="254"/>
      <c r="L7" s="254"/>
      <c r="M7" s="374"/>
      <c r="N7" s="137"/>
      <c r="O7" s="18"/>
      <c r="P7" s="375" t="s">
        <v>509</v>
      </c>
      <c r="Q7" s="361"/>
      <c r="R7" s="336" t="s">
        <v>476</v>
      </c>
      <c r="S7" s="331"/>
      <c r="T7" s="336" t="s">
        <v>510</v>
      </c>
      <c r="U7" s="336"/>
      <c r="V7" s="336" t="s">
        <v>511</v>
      </c>
      <c r="W7" s="361"/>
      <c r="X7" s="361" t="s">
        <v>512</v>
      </c>
      <c r="Y7" s="336"/>
      <c r="Z7" s="336" t="s">
        <v>513</v>
      </c>
      <c r="AA7" s="336"/>
      <c r="AB7" s="360" t="s">
        <v>514</v>
      </c>
      <c r="AC7" s="375"/>
      <c r="AD7" s="374"/>
    </row>
    <row r="8" spans="1:30" s="106" customFormat="1" ht="15" customHeight="1">
      <c r="A8" s="331" t="s">
        <v>515</v>
      </c>
      <c r="B8" s="331"/>
      <c r="C8" s="374" t="s">
        <v>496</v>
      </c>
      <c r="D8" s="331"/>
      <c r="E8" s="331" t="s">
        <v>497</v>
      </c>
      <c r="F8" s="331"/>
      <c r="G8" s="331"/>
      <c r="H8" s="331"/>
      <c r="I8" s="331"/>
      <c r="J8" s="253" t="s">
        <v>516</v>
      </c>
      <c r="K8" s="254"/>
      <c r="L8" s="254"/>
      <c r="M8" s="374"/>
      <c r="N8" s="18" t="s">
        <v>517</v>
      </c>
      <c r="O8" s="18" t="s">
        <v>518</v>
      </c>
      <c r="P8" s="375" t="s">
        <v>519</v>
      </c>
      <c r="Q8" s="361"/>
      <c r="R8" s="336" t="s">
        <v>476</v>
      </c>
      <c r="S8" s="336"/>
      <c r="T8" s="336" t="s">
        <v>520</v>
      </c>
      <c r="U8" s="336"/>
      <c r="V8" s="360" t="s">
        <v>521</v>
      </c>
      <c r="W8" s="361"/>
      <c r="X8" s="375" t="s">
        <v>522</v>
      </c>
      <c r="Y8" s="361"/>
      <c r="Z8" s="360" t="s">
        <v>523</v>
      </c>
      <c r="AA8" s="361"/>
      <c r="AB8" s="360" t="s">
        <v>524</v>
      </c>
      <c r="AC8" s="375"/>
      <c r="AD8" s="361"/>
    </row>
    <row r="9" spans="1:30" s="106" customFormat="1" ht="15" customHeight="1">
      <c r="A9" s="376"/>
      <c r="B9" s="377"/>
      <c r="C9" s="331"/>
      <c r="D9" s="331"/>
      <c r="E9" s="255"/>
      <c r="F9" s="256"/>
      <c r="G9" s="256"/>
      <c r="H9" s="256"/>
      <c r="I9" s="378"/>
      <c r="J9" s="253"/>
      <c r="K9" s="254"/>
      <c r="L9" s="254"/>
      <c r="M9" s="374"/>
      <c r="N9" s="138"/>
      <c r="O9" s="139"/>
      <c r="P9" s="361" t="s">
        <v>525</v>
      </c>
      <c r="Q9" s="336"/>
      <c r="R9" s="360" t="s">
        <v>526</v>
      </c>
      <c r="S9" s="361"/>
      <c r="T9" s="360" t="s">
        <v>527</v>
      </c>
      <c r="U9" s="361"/>
      <c r="V9" s="360" t="s">
        <v>528</v>
      </c>
      <c r="W9" s="361"/>
      <c r="X9" s="375" t="s">
        <v>529</v>
      </c>
      <c r="Y9" s="361"/>
      <c r="Z9" s="336" t="s">
        <v>476</v>
      </c>
      <c r="AA9" s="336"/>
    </row>
    <row r="10" spans="1:30" s="106" customFormat="1" ht="15" customHeight="1">
      <c r="A10" s="331" t="s">
        <v>530</v>
      </c>
      <c r="B10" s="331"/>
      <c r="C10" s="253" t="s">
        <v>531</v>
      </c>
      <c r="D10" s="374"/>
      <c r="E10" s="331" t="s">
        <v>497</v>
      </c>
      <c r="F10" s="331"/>
      <c r="G10" s="331"/>
      <c r="H10" s="331" t="s">
        <v>532</v>
      </c>
      <c r="I10" s="331"/>
      <c r="J10" s="255"/>
      <c r="K10" s="256"/>
      <c r="L10" s="256"/>
      <c r="M10" s="378"/>
      <c r="N10" s="133"/>
      <c r="O10" s="133"/>
      <c r="P10" s="375" t="s">
        <v>533</v>
      </c>
      <c r="Q10" s="361"/>
      <c r="R10" s="336" t="s">
        <v>476</v>
      </c>
      <c r="S10" s="336"/>
      <c r="T10" s="360" t="s">
        <v>534</v>
      </c>
      <c r="U10" s="361"/>
      <c r="V10" s="360" t="s">
        <v>535</v>
      </c>
      <c r="W10" s="361"/>
      <c r="X10" s="361" t="s">
        <v>536</v>
      </c>
      <c r="Y10" s="336"/>
      <c r="Z10" s="336" t="s">
        <v>481</v>
      </c>
      <c r="AA10" s="336"/>
      <c r="AB10" s="360"/>
      <c r="AC10" s="375"/>
      <c r="AD10" s="374"/>
    </row>
    <row r="11" spans="1:30" s="106" customFormat="1" ht="15" customHeight="1">
      <c r="A11" s="331"/>
      <c r="B11" s="331"/>
      <c r="C11" s="331"/>
      <c r="D11" s="331"/>
      <c r="E11" s="331"/>
      <c r="F11" s="331"/>
      <c r="G11" s="331"/>
      <c r="H11" s="379"/>
      <c r="I11" s="380"/>
      <c r="J11" s="253"/>
      <c r="K11" s="254"/>
      <c r="L11" s="254"/>
      <c r="M11" s="374"/>
      <c r="N11" s="18" t="s">
        <v>537</v>
      </c>
      <c r="O11" s="18" t="s">
        <v>538</v>
      </c>
      <c r="P11" s="361" t="s">
        <v>507</v>
      </c>
      <c r="Q11" s="336"/>
      <c r="R11" s="336" t="s">
        <v>539</v>
      </c>
      <c r="S11" s="336"/>
      <c r="T11" s="336" t="s">
        <v>540</v>
      </c>
      <c r="U11" s="336"/>
      <c r="V11" s="336" t="s">
        <v>508</v>
      </c>
      <c r="W11" s="331"/>
      <c r="X11" s="336" t="s">
        <v>541</v>
      </c>
      <c r="Y11" s="336"/>
      <c r="Z11" s="336" t="s">
        <v>535</v>
      </c>
      <c r="AA11" s="331"/>
    </row>
    <row r="12" spans="1:30" s="106" customFormat="1" ht="15" customHeight="1">
      <c r="A12" s="254" t="s">
        <v>542</v>
      </c>
      <c r="B12" s="374"/>
      <c r="C12" s="331" t="s">
        <v>543</v>
      </c>
      <c r="D12" s="331"/>
      <c r="E12" s="18" t="s">
        <v>544</v>
      </c>
      <c r="F12" s="18" t="s">
        <v>545</v>
      </c>
      <c r="G12" s="253" t="s">
        <v>546</v>
      </c>
      <c r="H12" s="374"/>
      <c r="I12" s="18" t="s">
        <v>547</v>
      </c>
      <c r="J12" s="18" t="s">
        <v>548</v>
      </c>
      <c r="K12" s="18" t="s">
        <v>549</v>
      </c>
      <c r="L12" s="136" t="s">
        <v>550</v>
      </c>
      <c r="M12" s="18" t="s">
        <v>551</v>
      </c>
      <c r="N12" s="140"/>
      <c r="O12" s="18"/>
      <c r="P12" s="361" t="s">
        <v>552</v>
      </c>
      <c r="Q12" s="336"/>
      <c r="R12" s="336" t="s">
        <v>476</v>
      </c>
      <c r="S12" s="336"/>
      <c r="T12" s="336" t="s">
        <v>553</v>
      </c>
      <c r="U12" s="336"/>
      <c r="V12" s="336"/>
      <c r="W12" s="336"/>
      <c r="X12" s="336" t="s">
        <v>554</v>
      </c>
      <c r="Y12" s="336"/>
      <c r="Z12" s="336" t="s">
        <v>555</v>
      </c>
      <c r="AA12" s="336"/>
    </row>
    <row r="13" spans="1:30" s="106" customFormat="1" ht="15" customHeight="1">
      <c r="A13" s="331"/>
      <c r="B13" s="331"/>
      <c r="C13" s="331"/>
      <c r="D13" s="331"/>
      <c r="E13" s="18"/>
      <c r="F13" s="18"/>
      <c r="G13" s="331"/>
      <c r="H13" s="331"/>
      <c r="I13" s="18"/>
      <c r="J13" s="18"/>
      <c r="K13" s="61"/>
      <c r="L13" s="18"/>
      <c r="M13" s="18"/>
      <c r="N13" s="120"/>
      <c r="O13" s="133"/>
      <c r="P13" s="361" t="s">
        <v>556</v>
      </c>
      <c r="Q13" s="336"/>
      <c r="R13" s="336" t="s">
        <v>557</v>
      </c>
      <c r="S13" s="336"/>
      <c r="T13" s="336" t="s">
        <v>558</v>
      </c>
      <c r="U13" s="336"/>
      <c r="V13" s="336" t="s">
        <v>559</v>
      </c>
      <c r="W13" s="336"/>
      <c r="X13" s="381" t="s">
        <v>560</v>
      </c>
      <c r="Y13" s="382"/>
    </row>
    <row r="14" spans="1:30" s="106" customFormat="1" ht="15" customHeight="1">
      <c r="A14" s="331"/>
      <c r="B14" s="331"/>
      <c r="C14" s="331"/>
      <c r="D14" s="331"/>
      <c r="E14" s="18"/>
      <c r="F14" s="18"/>
      <c r="G14" s="331"/>
      <c r="H14" s="331"/>
      <c r="I14" s="18"/>
      <c r="J14" s="18"/>
      <c r="K14" s="61"/>
      <c r="L14" s="18"/>
      <c r="M14" s="18"/>
      <c r="N14" s="120"/>
      <c r="O14" s="133"/>
      <c r="P14" s="361" t="s">
        <v>561</v>
      </c>
      <c r="Q14" s="336"/>
      <c r="R14" s="336" t="s">
        <v>562</v>
      </c>
      <c r="S14" s="336"/>
      <c r="T14" s="336" t="s">
        <v>563</v>
      </c>
      <c r="U14" s="336"/>
      <c r="V14" s="336" t="s">
        <v>564</v>
      </c>
      <c r="W14" s="336"/>
      <c r="Z14" s="336" t="s">
        <v>478</v>
      </c>
      <c r="AA14" s="336"/>
    </row>
    <row r="15" spans="1:30" s="106" customFormat="1" ht="15" customHeight="1">
      <c r="W15" s="129"/>
    </row>
    <row r="16" spans="1:30" s="106" customFormat="1" ht="15" customHeight="1">
      <c r="A16" s="370" t="s">
        <v>565</v>
      </c>
      <c r="B16" s="370"/>
      <c r="C16" s="370"/>
      <c r="D16" s="370"/>
      <c r="E16" s="370"/>
      <c r="F16" s="370"/>
      <c r="G16" s="370"/>
      <c r="H16" s="370"/>
      <c r="I16" s="141"/>
      <c r="J16" s="331"/>
      <c r="K16" s="331"/>
      <c r="L16" s="331" t="s">
        <v>566</v>
      </c>
      <c r="M16" s="331"/>
      <c r="N16" s="18" t="s">
        <v>545</v>
      </c>
      <c r="O16" s="18" t="s">
        <v>567</v>
      </c>
      <c r="P16" s="369" t="s">
        <v>568</v>
      </c>
      <c r="Q16" s="369"/>
      <c r="R16" s="369" t="s">
        <v>569</v>
      </c>
      <c r="S16" s="369"/>
      <c r="T16" s="129"/>
      <c r="U16" s="369" t="s">
        <v>570</v>
      </c>
      <c r="V16" s="369"/>
      <c r="W16" s="369" t="s">
        <v>571</v>
      </c>
      <c r="X16" s="369"/>
      <c r="Y16" s="369" t="s">
        <v>572</v>
      </c>
      <c r="Z16" s="369"/>
      <c r="AA16" s="369" t="s">
        <v>573</v>
      </c>
      <c r="AB16" s="369"/>
    </row>
    <row r="17" spans="1:29" s="106" customFormat="1" ht="15" customHeight="1">
      <c r="A17" s="384"/>
      <c r="B17" s="383"/>
      <c r="C17" s="383"/>
      <c r="D17" s="383"/>
      <c r="E17" s="383"/>
      <c r="F17" s="383"/>
      <c r="G17" s="383"/>
      <c r="H17" s="383"/>
      <c r="I17" s="142"/>
      <c r="J17" s="369" t="str">
        <f>('修　理'!B22)&amp;""</f>
        <v/>
      </c>
      <c r="K17" s="369"/>
      <c r="L17" s="369" t="str">
        <f>('修　理'!D22)&amp;""</f>
        <v/>
      </c>
      <c r="M17" s="369"/>
      <c r="N17" s="18"/>
      <c r="O17" s="143"/>
      <c r="P17" s="369" t="s">
        <v>574</v>
      </c>
      <c r="Q17" s="369"/>
      <c r="R17" s="369" t="s">
        <v>575</v>
      </c>
      <c r="S17" s="369"/>
      <c r="T17" s="129"/>
      <c r="U17" s="369" t="s">
        <v>576</v>
      </c>
      <c r="V17" s="369"/>
      <c r="W17" s="369" t="s">
        <v>577</v>
      </c>
      <c r="X17" s="369"/>
      <c r="AB17" s="129"/>
      <c r="AC17" s="129"/>
    </row>
    <row r="18" spans="1:29" s="106" customFormat="1" ht="15" customHeight="1">
      <c r="A18" s="383"/>
      <c r="B18" s="383"/>
      <c r="C18" s="383"/>
      <c r="D18" s="383"/>
      <c r="E18" s="383"/>
      <c r="F18" s="383"/>
      <c r="G18" s="383"/>
      <c r="H18" s="383"/>
      <c r="I18" s="142"/>
      <c r="J18" s="369" t="str">
        <f>('修　理'!B23)&amp;""</f>
        <v/>
      </c>
      <c r="K18" s="369"/>
      <c r="L18" s="369" t="str">
        <f>('修　理'!D23)&amp;""</f>
        <v/>
      </c>
      <c r="M18" s="369"/>
      <c r="N18" s="18"/>
      <c r="O18" s="143"/>
      <c r="P18" s="369" t="s">
        <v>578</v>
      </c>
      <c r="Q18" s="369"/>
      <c r="R18" s="369" t="s">
        <v>579</v>
      </c>
      <c r="S18" s="369"/>
      <c r="T18" s="129"/>
      <c r="U18" s="369" t="s">
        <v>580</v>
      </c>
      <c r="V18" s="369"/>
      <c r="W18" s="369"/>
      <c r="X18" s="369"/>
      <c r="AB18" s="129"/>
      <c r="AC18" s="129"/>
    </row>
    <row r="19" spans="1:29" s="106" customFormat="1" ht="15" customHeight="1">
      <c r="A19" s="384"/>
      <c r="B19" s="383"/>
      <c r="C19" s="383"/>
      <c r="D19" s="383"/>
      <c r="E19" s="383"/>
      <c r="F19" s="383"/>
      <c r="G19" s="383"/>
      <c r="H19" s="383"/>
      <c r="I19" s="142"/>
      <c r="J19" s="369" t="str">
        <f>('修　理'!B24)&amp;""</f>
        <v/>
      </c>
      <c r="K19" s="369"/>
      <c r="L19" s="369" t="str">
        <f>('修　理'!D24)&amp;""</f>
        <v/>
      </c>
      <c r="M19" s="369"/>
      <c r="N19" s="18"/>
      <c r="O19" s="143"/>
      <c r="P19" s="369" t="s">
        <v>582</v>
      </c>
      <c r="Q19" s="369"/>
      <c r="R19" s="369" t="s">
        <v>583</v>
      </c>
      <c r="S19" s="369"/>
      <c r="T19" s="129"/>
      <c r="U19" s="369" t="s">
        <v>584</v>
      </c>
      <c r="V19" s="369"/>
      <c r="W19" s="369" t="s">
        <v>585</v>
      </c>
      <c r="X19" s="369"/>
      <c r="Y19" t="s">
        <v>586</v>
      </c>
      <c r="AB19" s="129"/>
      <c r="AC19" s="129"/>
    </row>
    <row r="20" spans="1:29" s="106" customFormat="1" ht="15" customHeight="1">
      <c r="A20" s="383"/>
      <c r="B20" s="383"/>
      <c r="C20" s="383"/>
      <c r="D20" s="383"/>
      <c r="E20" s="383"/>
      <c r="F20" s="383"/>
      <c r="G20" s="383"/>
      <c r="H20" s="383"/>
      <c r="I20" s="144"/>
      <c r="J20" s="369" t="str">
        <f>('修　理'!B25)&amp;""</f>
        <v/>
      </c>
      <c r="K20" s="369"/>
      <c r="L20" s="369" t="str">
        <f>('修　理'!D25)&amp;""</f>
        <v/>
      </c>
      <c r="M20" s="369"/>
      <c r="N20" s="18"/>
      <c r="O20" s="143"/>
      <c r="P20" s="369" t="s">
        <v>587</v>
      </c>
      <c r="Q20" s="369"/>
      <c r="R20" s="369" t="s">
        <v>588</v>
      </c>
      <c r="S20" s="369"/>
      <c r="T20" s="129"/>
      <c r="U20" s="369" t="s">
        <v>589</v>
      </c>
      <c r="V20" s="369"/>
      <c r="W20" s="369" t="s">
        <v>588</v>
      </c>
      <c r="X20" s="369"/>
      <c r="Y20" t="s">
        <v>586</v>
      </c>
      <c r="AB20" s="129"/>
      <c r="AC20" s="129"/>
    </row>
    <row r="21" spans="1:29" s="106" customFormat="1" ht="15" customHeight="1">
      <c r="A21" s="383"/>
      <c r="B21" s="383"/>
      <c r="C21" s="383"/>
      <c r="D21" s="383"/>
      <c r="E21" s="383"/>
      <c r="F21" s="383"/>
      <c r="G21" s="383"/>
      <c r="H21" s="383"/>
      <c r="I21" s="144"/>
      <c r="J21" s="369" t="str">
        <f>('修　理'!B26)&amp;""</f>
        <v/>
      </c>
      <c r="K21" s="369"/>
      <c r="L21" s="369" t="str">
        <f>('修　理'!D26)&amp;""</f>
        <v/>
      </c>
      <c r="M21" s="369"/>
      <c r="N21" s="18"/>
      <c r="O21" s="143"/>
      <c r="P21" s="369" t="s">
        <v>591</v>
      </c>
      <c r="Q21" s="369"/>
      <c r="R21" s="369" t="s">
        <v>592</v>
      </c>
      <c r="S21" s="369"/>
      <c r="T21" s="129"/>
      <c r="U21" s="369" t="s">
        <v>593</v>
      </c>
      <c r="V21" s="369"/>
      <c r="W21" s="369" t="s">
        <v>594</v>
      </c>
      <c r="X21" s="369"/>
      <c r="AB21" s="129"/>
      <c r="AC21" s="129"/>
    </row>
    <row r="22" spans="1:29" s="106" customFormat="1" ht="15" customHeight="1">
      <c r="A22" s="383"/>
      <c r="B22" s="383"/>
      <c r="C22" s="383"/>
      <c r="D22" s="383"/>
      <c r="E22" s="383"/>
      <c r="F22" s="383"/>
      <c r="G22" s="383"/>
      <c r="H22" s="383"/>
      <c r="I22" s="144"/>
      <c r="J22" s="369" t="str">
        <f>('修　理'!B27)&amp;""</f>
        <v/>
      </c>
      <c r="K22" s="369"/>
      <c r="L22" s="369" t="str">
        <f>('修　理'!D27)&amp;""</f>
        <v/>
      </c>
      <c r="M22" s="369"/>
      <c r="N22" s="18"/>
      <c r="O22" s="143"/>
      <c r="P22" s="369" t="s">
        <v>595</v>
      </c>
      <c r="Q22" s="369"/>
      <c r="R22" s="369" t="s">
        <v>596</v>
      </c>
      <c r="S22" s="369"/>
      <c r="T22" s="129"/>
      <c r="U22" s="369" t="s">
        <v>597</v>
      </c>
      <c r="V22" s="369"/>
      <c r="W22" s="369" t="s">
        <v>585</v>
      </c>
      <c r="X22" s="369"/>
      <c r="Y22" s="129"/>
      <c r="Z22" s="129"/>
      <c r="AB22" s="126"/>
      <c r="AC22" s="126"/>
    </row>
    <row r="23" spans="1:29" s="106" customFormat="1" ht="15" customHeight="1">
      <c r="A23" s="385"/>
      <c r="B23" s="385"/>
      <c r="C23" s="385"/>
      <c r="D23" s="385"/>
      <c r="E23" s="385"/>
      <c r="F23" s="385"/>
      <c r="G23" s="385"/>
      <c r="H23" s="385"/>
      <c r="I23" s="144"/>
      <c r="J23" s="369" t="str">
        <f>('修　理'!B28)&amp;""</f>
        <v/>
      </c>
      <c r="K23" s="369"/>
      <c r="L23" s="369" t="str">
        <f>('修　理'!D28)&amp;""</f>
        <v/>
      </c>
      <c r="M23" s="369"/>
      <c r="N23" s="18"/>
      <c r="O23" s="143"/>
      <c r="P23" s="369" t="s">
        <v>598</v>
      </c>
      <c r="Q23" s="369"/>
      <c r="R23" s="369" t="s">
        <v>575</v>
      </c>
      <c r="S23" s="369"/>
      <c r="T23" s="110" t="s">
        <v>599</v>
      </c>
      <c r="U23" s="369" t="s">
        <v>600</v>
      </c>
      <c r="V23" s="369"/>
      <c r="W23" s="369" t="s">
        <v>601</v>
      </c>
      <c r="X23" s="369"/>
      <c r="AB23" s="129"/>
      <c r="AC23" s="129"/>
    </row>
    <row r="24" spans="1:29" s="106" customFormat="1" ht="15" customHeight="1">
      <c r="A24" s="383"/>
      <c r="B24" s="383"/>
      <c r="C24" s="383"/>
      <c r="D24" s="383"/>
      <c r="E24" s="383"/>
      <c r="F24" s="383"/>
      <c r="G24" s="383"/>
      <c r="H24" s="383"/>
      <c r="I24" s="144"/>
      <c r="J24" s="369" t="str">
        <f>('修　理'!B29)&amp;""</f>
        <v/>
      </c>
      <c r="K24" s="369"/>
      <c r="L24" s="369" t="str">
        <f>('修　理'!D29)&amp;""</f>
        <v/>
      </c>
      <c r="M24" s="369"/>
      <c r="N24" s="18"/>
      <c r="O24" s="143"/>
      <c r="P24" s="369" t="s">
        <v>602</v>
      </c>
      <c r="Q24" s="369"/>
      <c r="R24" s="369" t="s">
        <v>603</v>
      </c>
      <c r="S24" s="369"/>
      <c r="T24" s="110" t="s">
        <v>604</v>
      </c>
      <c r="U24" s="369" t="s">
        <v>605</v>
      </c>
      <c r="V24" s="369"/>
      <c r="W24" s="369" t="s">
        <v>606</v>
      </c>
      <c r="X24" s="369"/>
      <c r="Z24" s="129"/>
      <c r="AA24" s="129"/>
      <c r="AB24" s="129"/>
      <c r="AC24" s="129"/>
    </row>
    <row r="25" spans="1:29" s="106" customFormat="1" ht="15" customHeight="1">
      <c r="A25" s="383"/>
      <c r="B25" s="383"/>
      <c r="C25" s="383"/>
      <c r="D25" s="383"/>
      <c r="E25" s="383"/>
      <c r="F25" s="383"/>
      <c r="G25" s="383"/>
      <c r="H25" s="383"/>
      <c r="I25" s="144"/>
      <c r="J25" s="369" t="str">
        <f>('修　理'!B30)&amp;""</f>
        <v/>
      </c>
      <c r="K25" s="369"/>
      <c r="L25" s="369" t="str">
        <f>('修　理'!D30)&amp;""</f>
        <v/>
      </c>
      <c r="M25" s="369"/>
      <c r="N25" s="18"/>
      <c r="O25" s="143"/>
      <c r="P25" s="369" t="s">
        <v>608</v>
      </c>
      <c r="Q25" s="369"/>
      <c r="R25" s="387" t="s">
        <v>609</v>
      </c>
      <c r="S25" s="387"/>
      <c r="T25" s="129"/>
      <c r="U25" s="369" t="s">
        <v>610</v>
      </c>
      <c r="V25" s="369"/>
      <c r="W25" s="369" t="s">
        <v>607</v>
      </c>
      <c r="X25" s="369"/>
      <c r="Z25" s="129"/>
      <c r="AA25" s="129"/>
      <c r="AB25" s="129"/>
      <c r="AC25" s="129"/>
    </row>
    <row r="26" spans="1:29" s="106" customFormat="1" ht="15" customHeight="1">
      <c r="A26" s="385"/>
      <c r="B26" s="385"/>
      <c r="C26" s="385"/>
      <c r="D26" s="385"/>
      <c r="E26" s="385"/>
      <c r="F26" s="385"/>
      <c r="G26" s="385"/>
      <c r="H26" s="385"/>
      <c r="I26" s="144"/>
      <c r="J26" s="369" t="str">
        <f>('修　理'!B31)&amp;""</f>
        <v/>
      </c>
      <c r="K26" s="369"/>
      <c r="L26" s="369" t="str">
        <f>('修　理'!D31)&amp;""</f>
        <v/>
      </c>
      <c r="M26" s="369"/>
      <c r="N26" s="18"/>
      <c r="O26" s="143"/>
      <c r="P26" s="369" t="s">
        <v>612</v>
      </c>
      <c r="Q26" s="369"/>
      <c r="R26" s="386" t="s">
        <v>613</v>
      </c>
      <c r="S26" s="386"/>
      <c r="T26" s="129"/>
      <c r="U26" s="369" t="s">
        <v>614</v>
      </c>
      <c r="V26" s="369"/>
      <c r="W26" s="369" t="s">
        <v>611</v>
      </c>
      <c r="X26" s="369"/>
      <c r="Z26" s="129"/>
      <c r="AA26" s="129"/>
      <c r="AB26" s="129"/>
      <c r="AC26" s="129"/>
    </row>
    <row r="27" spans="1:29" s="106" customFormat="1" ht="15" customHeight="1">
      <c r="A27" s="383"/>
      <c r="B27" s="383"/>
      <c r="C27" s="383"/>
      <c r="D27" s="383"/>
      <c r="E27" s="383"/>
      <c r="F27" s="383"/>
      <c r="G27" s="383"/>
      <c r="H27" s="383"/>
      <c r="I27" s="144"/>
      <c r="J27" s="369" t="str">
        <f>('修　理'!B32)&amp;""</f>
        <v/>
      </c>
      <c r="K27" s="369"/>
      <c r="L27" s="369" t="str">
        <f>('修　理'!D32)&amp;""</f>
        <v/>
      </c>
      <c r="M27" s="369"/>
      <c r="N27" s="18"/>
      <c r="O27" s="143"/>
      <c r="P27" s="369" t="s">
        <v>615</v>
      </c>
      <c r="Q27" s="369"/>
      <c r="R27" s="369" t="s">
        <v>616</v>
      </c>
      <c r="S27" s="369"/>
      <c r="T27" s="129"/>
      <c r="U27" s="369" t="s">
        <v>617</v>
      </c>
      <c r="V27" s="369"/>
      <c r="W27" s="369" t="s">
        <v>618</v>
      </c>
      <c r="X27" s="369"/>
      <c r="Z27" s="129"/>
      <c r="AA27" s="129"/>
      <c r="AB27" s="129"/>
      <c r="AC27" s="129"/>
    </row>
    <row r="28" spans="1:29" s="106" customFormat="1" ht="15" customHeight="1">
      <c r="A28" s="388"/>
      <c r="B28" s="388"/>
      <c r="C28" s="388"/>
      <c r="D28" s="388"/>
      <c r="E28" s="388"/>
      <c r="F28" s="388"/>
      <c r="G28" s="388"/>
      <c r="H28" s="388"/>
      <c r="I28" s="144"/>
      <c r="J28" s="369" t="str">
        <f>('修　理'!B33)&amp;""</f>
        <v/>
      </c>
      <c r="K28" s="369"/>
      <c r="L28" s="369" t="str">
        <f>('修　理'!D33)&amp;""</f>
        <v/>
      </c>
      <c r="M28" s="369"/>
      <c r="N28" s="18"/>
      <c r="O28" s="143"/>
      <c r="P28" s="369" t="s">
        <v>619</v>
      </c>
      <c r="Q28" s="369"/>
      <c r="R28" s="369" t="s">
        <v>581</v>
      </c>
      <c r="S28" s="369"/>
      <c r="T28" s="129"/>
      <c r="U28" s="369" t="s">
        <v>580</v>
      </c>
      <c r="V28" s="369"/>
      <c r="W28" s="369"/>
      <c r="X28" s="369"/>
      <c r="Z28" s="129"/>
      <c r="AA28" s="129"/>
      <c r="AB28" s="129"/>
      <c r="AC28" s="129"/>
    </row>
    <row r="29" spans="1:29" s="106" customFormat="1" ht="15" customHeight="1">
      <c r="A29" s="390" t="s">
        <v>620</v>
      </c>
      <c r="B29" s="391"/>
      <c r="C29" s="391"/>
      <c r="D29" s="391"/>
      <c r="E29" s="391"/>
      <c r="F29" s="391"/>
      <c r="G29" s="391"/>
      <c r="H29" s="392"/>
      <c r="I29" s="144"/>
      <c r="J29" s="369" t="str">
        <f>('修　理'!B34)&amp;""</f>
        <v/>
      </c>
      <c r="K29" s="369"/>
      <c r="L29" s="369" t="str">
        <f>('修　理'!D34)&amp;""</f>
        <v/>
      </c>
      <c r="M29" s="369"/>
      <c r="N29" s="18"/>
      <c r="O29" s="143"/>
      <c r="P29" s="369" t="s">
        <v>621</v>
      </c>
      <c r="Q29" s="369"/>
      <c r="R29" s="369" t="s">
        <v>581</v>
      </c>
      <c r="S29" s="369"/>
      <c r="T29" s="129"/>
      <c r="U29" s="369" t="s">
        <v>580</v>
      </c>
      <c r="V29" s="369"/>
      <c r="W29" s="369"/>
      <c r="X29" s="369"/>
      <c r="Y29" s="129"/>
      <c r="AA29" s="129"/>
      <c r="AB29" s="129"/>
      <c r="AC29" s="129"/>
    </row>
    <row r="30" spans="1:29" s="106" customFormat="1" ht="15" customHeight="1">
      <c r="A30" s="389" t="s">
        <v>622</v>
      </c>
      <c r="B30" s="366"/>
      <c r="C30" s="366"/>
      <c r="D30" s="366"/>
      <c r="E30" s="366"/>
      <c r="F30" s="366"/>
      <c r="G30" s="366"/>
      <c r="H30" s="366"/>
      <c r="I30" s="144"/>
      <c r="J30" s="369" t="str">
        <f>('修　理'!B35)&amp;""</f>
        <v/>
      </c>
      <c r="K30" s="369"/>
      <c r="L30" s="369" t="str">
        <f>('修　理'!D35)&amp;""</f>
        <v/>
      </c>
      <c r="M30" s="369"/>
      <c r="N30" s="18"/>
      <c r="O30" s="143"/>
      <c r="P30" s="369" t="s">
        <v>623</v>
      </c>
      <c r="Q30" s="369"/>
      <c r="R30" s="369" t="s">
        <v>581</v>
      </c>
      <c r="S30" s="369"/>
      <c r="T30" s="129"/>
      <c r="U30" s="369" t="s">
        <v>580</v>
      </c>
      <c r="V30" s="369"/>
      <c r="W30" s="369"/>
      <c r="X30" s="369"/>
      <c r="Y30" s="129"/>
      <c r="AA30" s="129"/>
      <c r="AB30" s="129"/>
      <c r="AC30" s="129"/>
    </row>
    <row r="31" spans="1:29" s="106" customFormat="1" ht="15" customHeight="1">
      <c r="A31" s="393"/>
      <c r="B31" s="394"/>
      <c r="C31" s="394"/>
      <c r="D31" s="394"/>
      <c r="E31" s="394"/>
      <c r="F31" s="394"/>
      <c r="G31" s="394"/>
      <c r="H31" s="395"/>
      <c r="I31" s="144"/>
      <c r="J31" s="369" t="str">
        <f>('修　理'!B36)&amp;""</f>
        <v/>
      </c>
      <c r="K31" s="369"/>
      <c r="L31" s="369" t="str">
        <f>('修　理'!D36)&amp;""</f>
        <v/>
      </c>
      <c r="M31" s="369"/>
      <c r="N31" s="18"/>
      <c r="O31" s="109"/>
      <c r="P31" s="369" t="s">
        <v>624</v>
      </c>
      <c r="Q31" s="369"/>
      <c r="R31" s="369" t="s">
        <v>616</v>
      </c>
      <c r="S31" s="369"/>
      <c r="T31" s="129"/>
      <c r="U31" s="369" t="s">
        <v>625</v>
      </c>
      <c r="V31" s="369"/>
      <c r="W31" s="369" t="s">
        <v>626</v>
      </c>
      <c r="X31" s="369"/>
      <c r="Y31" s="129"/>
      <c r="AA31" s="145"/>
      <c r="AB31" s="129"/>
      <c r="AC31" s="129"/>
    </row>
    <row r="32" spans="1:29" s="106" customFormat="1" ht="15" customHeight="1">
      <c r="A32" s="389"/>
      <c r="B32" s="366"/>
      <c r="C32" s="366"/>
      <c r="D32" s="366"/>
      <c r="E32" s="366"/>
      <c r="F32" s="366"/>
      <c r="G32" s="366"/>
      <c r="H32" s="366"/>
      <c r="I32" s="144"/>
      <c r="J32" s="369" t="str">
        <f>('修　理'!B37)&amp;""</f>
        <v/>
      </c>
      <c r="K32" s="369"/>
      <c r="L32" s="369" t="str">
        <f>('修　理'!D37)&amp;""</f>
        <v/>
      </c>
      <c r="M32" s="369"/>
      <c r="N32" s="18"/>
      <c r="O32" s="109"/>
      <c r="P32" s="369" t="s">
        <v>627</v>
      </c>
      <c r="Q32" s="369"/>
      <c r="R32" s="369" t="s">
        <v>628</v>
      </c>
      <c r="S32" s="369"/>
      <c r="T32" s="129"/>
      <c r="U32" s="369" t="s">
        <v>629</v>
      </c>
      <c r="V32" s="369"/>
      <c r="W32" s="369" t="s">
        <v>630</v>
      </c>
      <c r="X32" s="369"/>
      <c r="Y32" s="146" t="s">
        <v>631</v>
      </c>
      <c r="AA32" s="145"/>
      <c r="AB32" s="129"/>
      <c r="AC32" s="129"/>
    </row>
    <row r="33" spans="1:29" s="106" customFormat="1" ht="15" customHeight="1">
      <c r="A33" s="393" t="s">
        <v>632</v>
      </c>
      <c r="B33" s="394"/>
      <c r="C33" s="394"/>
      <c r="D33" s="394"/>
      <c r="E33" s="394"/>
      <c r="F33" s="394"/>
      <c r="G33" s="394"/>
      <c r="H33" s="395"/>
      <c r="I33" s="144"/>
      <c r="J33" s="369" t="str">
        <f>('修　理'!B38)&amp;""</f>
        <v/>
      </c>
      <c r="K33" s="369"/>
      <c r="L33" s="369" t="str">
        <f>('修　理'!D38)&amp;""</f>
        <v/>
      </c>
      <c r="M33" s="369"/>
      <c r="N33" s="18"/>
      <c r="O33" s="109"/>
      <c r="P33" s="369" t="s">
        <v>633</v>
      </c>
      <c r="Q33" s="369"/>
      <c r="R33" s="369" t="s">
        <v>590</v>
      </c>
      <c r="S33" s="369"/>
      <c r="T33" s="129"/>
      <c r="U33" s="369" t="s">
        <v>634</v>
      </c>
      <c r="V33" s="369"/>
      <c r="W33" s="369" t="s">
        <v>635</v>
      </c>
      <c r="X33" s="369"/>
      <c r="Y33" s="129" t="s">
        <v>636</v>
      </c>
      <c r="AA33" s="145"/>
      <c r="AB33" s="129"/>
      <c r="AC33" s="129"/>
    </row>
    <row r="34" spans="1:29" s="106" customFormat="1" ht="15" customHeight="1">
      <c r="A34" s="147"/>
      <c r="B34" s="134"/>
      <c r="C34" s="134"/>
      <c r="D34" s="134"/>
      <c r="E34" s="134"/>
      <c r="F34" s="134"/>
      <c r="G34" s="134"/>
      <c r="H34" s="134"/>
      <c r="I34" s="147"/>
      <c r="J34" s="369" t="str">
        <f>('修　理'!B39)&amp;""</f>
        <v/>
      </c>
      <c r="K34" s="369"/>
      <c r="L34" s="369" t="str">
        <f>('修　理'!D39)&amp;""</f>
        <v/>
      </c>
      <c r="M34" s="369"/>
      <c r="N34" s="18"/>
      <c r="O34" s="18"/>
      <c r="P34" s="369" t="s">
        <v>637</v>
      </c>
      <c r="Q34" s="369"/>
      <c r="R34" s="369" t="s">
        <v>638</v>
      </c>
      <c r="S34" s="369"/>
      <c r="T34" s="129"/>
      <c r="U34" s="369" t="s">
        <v>639</v>
      </c>
      <c r="V34" s="369"/>
      <c r="W34" s="369" t="s">
        <v>635</v>
      </c>
      <c r="X34" s="369"/>
      <c r="Y34" s="129" t="s">
        <v>640</v>
      </c>
      <c r="Z34" s="129"/>
      <c r="AA34" s="129"/>
      <c r="AB34" s="129"/>
      <c r="AC34" s="129"/>
    </row>
    <row r="35" spans="1:29" s="106" customFormat="1" ht="15" customHeight="1">
      <c r="A35" s="396"/>
      <c r="B35" s="397"/>
      <c r="C35" s="397"/>
      <c r="D35" s="397"/>
      <c r="E35" s="397"/>
      <c r="F35" s="135"/>
      <c r="J35" s="369"/>
      <c r="K35" s="369"/>
      <c r="L35" s="369"/>
      <c r="M35" s="369"/>
      <c r="N35" s="115"/>
      <c r="O35" s="109"/>
      <c r="P35" s="369"/>
      <c r="Q35" s="369"/>
      <c r="R35" s="369"/>
      <c r="S35" s="369"/>
      <c r="T35" s="129"/>
      <c r="U35" s="129"/>
      <c r="V35" s="129"/>
      <c r="W35" s="148"/>
      <c r="X35" s="149"/>
      <c r="Y35" s="129"/>
      <c r="Z35" s="129"/>
      <c r="AA35" s="129"/>
      <c r="AB35" s="129"/>
      <c r="AC35" s="129"/>
    </row>
  </sheetData>
  <mergeCells count="259">
    <mergeCell ref="A35:E35"/>
    <mergeCell ref="J35:K35"/>
    <mergeCell ref="L35:M35"/>
    <mergeCell ref="P35:Q35"/>
    <mergeCell ref="R35:S35"/>
    <mergeCell ref="W33:X33"/>
    <mergeCell ref="J34:K34"/>
    <mergeCell ref="L34:M34"/>
    <mergeCell ref="P34:Q34"/>
    <mergeCell ref="R34:S34"/>
    <mergeCell ref="U34:V34"/>
    <mergeCell ref="W34:X34"/>
    <mergeCell ref="A33:H33"/>
    <mergeCell ref="J33:K33"/>
    <mergeCell ref="L33:M33"/>
    <mergeCell ref="P33:Q33"/>
    <mergeCell ref="R33:S33"/>
    <mergeCell ref="U33:V33"/>
    <mergeCell ref="W31:X31"/>
    <mergeCell ref="A32:H32"/>
    <mergeCell ref="J32:K32"/>
    <mergeCell ref="L32:M32"/>
    <mergeCell ref="P32:Q32"/>
    <mergeCell ref="R32:S32"/>
    <mergeCell ref="U32:V32"/>
    <mergeCell ref="W32:X32"/>
    <mergeCell ref="A31:H31"/>
    <mergeCell ref="J31:K31"/>
    <mergeCell ref="L31:M31"/>
    <mergeCell ref="P31:Q31"/>
    <mergeCell ref="R31:S31"/>
    <mergeCell ref="U31:V31"/>
    <mergeCell ref="W29:X29"/>
    <mergeCell ref="A30:H30"/>
    <mergeCell ref="J30:K30"/>
    <mergeCell ref="L30:M30"/>
    <mergeCell ref="P30:Q30"/>
    <mergeCell ref="R30:S30"/>
    <mergeCell ref="U30:V30"/>
    <mergeCell ref="W30:X30"/>
    <mergeCell ref="A29:H29"/>
    <mergeCell ref="J29:K29"/>
    <mergeCell ref="L29:M29"/>
    <mergeCell ref="P29:Q29"/>
    <mergeCell ref="R29:S29"/>
    <mergeCell ref="U29:V29"/>
    <mergeCell ref="W27:X27"/>
    <mergeCell ref="A28:H28"/>
    <mergeCell ref="J28:K28"/>
    <mergeCell ref="L28:M28"/>
    <mergeCell ref="P28:Q28"/>
    <mergeCell ref="R28:S28"/>
    <mergeCell ref="U28:V28"/>
    <mergeCell ref="W28:X28"/>
    <mergeCell ref="A27:H27"/>
    <mergeCell ref="J27:K27"/>
    <mergeCell ref="L27:M27"/>
    <mergeCell ref="P27:Q27"/>
    <mergeCell ref="R27:S27"/>
    <mergeCell ref="U27:V27"/>
    <mergeCell ref="W25:X25"/>
    <mergeCell ref="A26:H26"/>
    <mergeCell ref="J26:K26"/>
    <mergeCell ref="L26:M26"/>
    <mergeCell ref="P26:Q26"/>
    <mergeCell ref="R26:S26"/>
    <mergeCell ref="U26:V26"/>
    <mergeCell ref="W26:X26"/>
    <mergeCell ref="A25:H25"/>
    <mergeCell ref="J25:K25"/>
    <mergeCell ref="L25:M25"/>
    <mergeCell ref="P25:Q25"/>
    <mergeCell ref="R25:S25"/>
    <mergeCell ref="U25:V25"/>
    <mergeCell ref="W23:X23"/>
    <mergeCell ref="A24:H24"/>
    <mergeCell ref="J24:K24"/>
    <mergeCell ref="L24:M24"/>
    <mergeCell ref="P24:Q24"/>
    <mergeCell ref="R24:S24"/>
    <mergeCell ref="U24:V24"/>
    <mergeCell ref="W24:X24"/>
    <mergeCell ref="A23:H23"/>
    <mergeCell ref="J23:K23"/>
    <mergeCell ref="L23:M23"/>
    <mergeCell ref="P23:Q23"/>
    <mergeCell ref="R23:S23"/>
    <mergeCell ref="U23:V23"/>
    <mergeCell ref="W21:X21"/>
    <mergeCell ref="A22:H22"/>
    <mergeCell ref="J22:K22"/>
    <mergeCell ref="L22:M22"/>
    <mergeCell ref="P22:Q22"/>
    <mergeCell ref="R22:S22"/>
    <mergeCell ref="U22:V22"/>
    <mergeCell ref="W22:X22"/>
    <mergeCell ref="A21:H21"/>
    <mergeCell ref="J21:K21"/>
    <mergeCell ref="L21:M21"/>
    <mergeCell ref="P21:Q21"/>
    <mergeCell ref="R21:S21"/>
    <mergeCell ref="U21:V21"/>
    <mergeCell ref="W19:X19"/>
    <mergeCell ref="A20:H20"/>
    <mergeCell ref="J20:K20"/>
    <mergeCell ref="L20:M20"/>
    <mergeCell ref="P20:Q20"/>
    <mergeCell ref="R20:S20"/>
    <mergeCell ref="U20:V20"/>
    <mergeCell ref="W20:X20"/>
    <mergeCell ref="A19:H19"/>
    <mergeCell ref="J19:K19"/>
    <mergeCell ref="L19:M19"/>
    <mergeCell ref="P19:Q19"/>
    <mergeCell ref="R19:S19"/>
    <mergeCell ref="U19:V19"/>
    <mergeCell ref="W17:X17"/>
    <mergeCell ref="A18:H18"/>
    <mergeCell ref="J18:K18"/>
    <mergeCell ref="L18:M18"/>
    <mergeCell ref="P18:Q18"/>
    <mergeCell ref="R18:S18"/>
    <mergeCell ref="U18:V18"/>
    <mergeCell ref="W18:X18"/>
    <mergeCell ref="A17:H17"/>
    <mergeCell ref="J17:K17"/>
    <mergeCell ref="L17:M17"/>
    <mergeCell ref="P17:Q17"/>
    <mergeCell ref="R17:S17"/>
    <mergeCell ref="U17:V17"/>
    <mergeCell ref="Z14:AA14"/>
    <mergeCell ref="A16:H16"/>
    <mergeCell ref="J16:K16"/>
    <mergeCell ref="L16:M16"/>
    <mergeCell ref="P16:Q16"/>
    <mergeCell ref="R16:S16"/>
    <mergeCell ref="U16:V16"/>
    <mergeCell ref="W16:X16"/>
    <mergeCell ref="Y16:Z16"/>
    <mergeCell ref="AA16:AB16"/>
    <mergeCell ref="A14:B14"/>
    <mergeCell ref="C14:D14"/>
    <mergeCell ref="G14:H14"/>
    <mergeCell ref="P14:Q14"/>
    <mergeCell ref="R14:S14"/>
    <mergeCell ref="T14:U14"/>
    <mergeCell ref="V14:W14"/>
    <mergeCell ref="V12:W12"/>
    <mergeCell ref="X12:Y12"/>
    <mergeCell ref="Z12:AA12"/>
    <mergeCell ref="A13:B13"/>
    <mergeCell ref="C13:D13"/>
    <mergeCell ref="G13:H13"/>
    <mergeCell ref="P13:Q13"/>
    <mergeCell ref="R13:S13"/>
    <mergeCell ref="T13:U13"/>
    <mergeCell ref="V13:W13"/>
    <mergeCell ref="A12:B12"/>
    <mergeCell ref="C12:D12"/>
    <mergeCell ref="G12:H12"/>
    <mergeCell ref="P12:Q12"/>
    <mergeCell ref="R12:S12"/>
    <mergeCell ref="T12:U12"/>
    <mergeCell ref="X13:Y13"/>
    <mergeCell ref="R11:S11"/>
    <mergeCell ref="T11:U11"/>
    <mergeCell ref="V11:W11"/>
    <mergeCell ref="X11:Y11"/>
    <mergeCell ref="Z11:AA11"/>
    <mergeCell ref="T10:U10"/>
    <mergeCell ref="V10:W10"/>
    <mergeCell ref="X10:Y10"/>
    <mergeCell ref="Z10:AA10"/>
    <mergeCell ref="A9:B9"/>
    <mergeCell ref="C9:D9"/>
    <mergeCell ref="E9:I9"/>
    <mergeCell ref="J9:M9"/>
    <mergeCell ref="P9:Q9"/>
    <mergeCell ref="R9:S9"/>
    <mergeCell ref="T9:U9"/>
    <mergeCell ref="AB10:AD10"/>
    <mergeCell ref="A11:B11"/>
    <mergeCell ref="C11:D11"/>
    <mergeCell ref="E11:G11"/>
    <mergeCell ref="H11:I11"/>
    <mergeCell ref="J11:M11"/>
    <mergeCell ref="V9:W9"/>
    <mergeCell ref="X9:Y9"/>
    <mergeCell ref="Z9:AA9"/>
    <mergeCell ref="A10:B10"/>
    <mergeCell ref="C10:D10"/>
    <mergeCell ref="E10:G10"/>
    <mergeCell ref="H10:I10"/>
    <mergeCell ref="J10:M10"/>
    <mergeCell ref="P10:Q10"/>
    <mergeCell ref="R10:S10"/>
    <mergeCell ref="P11:Q11"/>
    <mergeCell ref="AB7:AD7"/>
    <mergeCell ref="A8:B8"/>
    <mergeCell ref="C8:D8"/>
    <mergeCell ref="E8:G8"/>
    <mergeCell ref="H8:I8"/>
    <mergeCell ref="J8:M8"/>
    <mergeCell ref="P8:Q8"/>
    <mergeCell ref="R8:S8"/>
    <mergeCell ref="T8:U8"/>
    <mergeCell ref="V8:W8"/>
    <mergeCell ref="P7:Q7"/>
    <mergeCell ref="R7:S7"/>
    <mergeCell ref="T7:U7"/>
    <mergeCell ref="V7:W7"/>
    <mergeCell ref="X7:Y7"/>
    <mergeCell ref="Z7:AA7"/>
    <mergeCell ref="X8:Y8"/>
    <mergeCell ref="Z8:AA8"/>
    <mergeCell ref="AB8:AD8"/>
    <mergeCell ref="R6:S6"/>
    <mergeCell ref="T6:U6"/>
    <mergeCell ref="V6:W6"/>
    <mergeCell ref="X6:Y6"/>
    <mergeCell ref="Z6:AA6"/>
    <mergeCell ref="A7:B7"/>
    <mergeCell ref="C7:D7"/>
    <mergeCell ref="E7:G7"/>
    <mergeCell ref="H7:I7"/>
    <mergeCell ref="J7:M7"/>
    <mergeCell ref="A6:B6"/>
    <mergeCell ref="C6:D6"/>
    <mergeCell ref="E6:G6"/>
    <mergeCell ref="H6:I6"/>
    <mergeCell ref="J6:M6"/>
    <mergeCell ref="P6:Q6"/>
    <mergeCell ref="V4:W4"/>
    <mergeCell ref="X4:Y4"/>
    <mergeCell ref="Z4:AA4"/>
    <mergeCell ref="A5:E5"/>
    <mergeCell ref="R5:S5"/>
    <mergeCell ref="T5:U5"/>
    <mergeCell ref="V5:W5"/>
    <mergeCell ref="X5:Y5"/>
    <mergeCell ref="Z5:AA5"/>
    <mergeCell ref="A4:B4"/>
    <mergeCell ref="C4:D4"/>
    <mergeCell ref="K4:M4"/>
    <mergeCell ref="P4:Q4"/>
    <mergeCell ref="R4:S4"/>
    <mergeCell ref="T4:U4"/>
    <mergeCell ref="R3:S3"/>
    <mergeCell ref="T3:U3"/>
    <mergeCell ref="V3:W3"/>
    <mergeCell ref="X3:Y3"/>
    <mergeCell ref="Z3:AA3"/>
    <mergeCell ref="AB3:AC3"/>
    <mergeCell ref="A1:O1"/>
    <mergeCell ref="A2:N2"/>
    <mergeCell ref="P2:Q2"/>
    <mergeCell ref="A3:B3"/>
    <mergeCell ref="C3:D3"/>
    <mergeCell ref="P3:Q3"/>
  </mergeCells>
  <phoneticPr fontId="1"/>
  <pageMargins left="0.7" right="0.7" top="0.75" bottom="0.75" header="0.3" footer="0.3"/>
  <pageSetup paperSize="9"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294"/>
  <sheetViews>
    <sheetView zoomScale="115" zoomScaleNormal="115" workbookViewId="0">
      <selection activeCell="H4" sqref="H4:I4"/>
    </sheetView>
  </sheetViews>
  <sheetFormatPr defaultRowHeight="16.5" customHeight="1"/>
  <cols>
    <col min="1" max="1" width="9" customWidth="1"/>
    <col min="2" max="2" width="8.375" customWidth="1"/>
    <col min="3" max="3" width="9.375" customWidth="1"/>
    <col min="4" max="4" width="9.125" customWidth="1"/>
    <col min="5" max="5" width="4.375" customWidth="1"/>
    <col min="6" max="6" width="6.625" customWidth="1"/>
    <col min="7" max="7" width="6" customWidth="1"/>
    <col min="8" max="9" width="11.375" customWidth="1"/>
    <col min="10" max="10" width="11.25" customWidth="1"/>
    <col min="11" max="11" width="0.75" customWidth="1"/>
    <col min="12" max="15" width="8.375" customWidth="1"/>
    <col min="16" max="17" width="7.75" customWidth="1"/>
    <col min="18" max="18" width="7.25" customWidth="1"/>
    <col min="19" max="22" width="8" customWidth="1"/>
    <col min="23" max="25" width="7.75" customWidth="1"/>
    <col min="26" max="29" width="8" customWidth="1"/>
    <col min="30" max="32" width="7.75" customWidth="1"/>
  </cols>
  <sheetData>
    <row r="1" spans="1:41" ht="16.5" customHeight="1">
      <c r="A1" s="309" t="s">
        <v>4</v>
      </c>
      <c r="B1" s="309"/>
      <c r="C1" s="309"/>
      <c r="D1" s="309"/>
      <c r="E1" s="309"/>
      <c r="F1" s="309"/>
      <c r="G1" s="309"/>
      <c r="H1" s="309"/>
      <c r="I1" s="309"/>
      <c r="J1" s="309"/>
      <c r="K1" s="79"/>
      <c r="L1" s="1"/>
      <c r="M1" s="1"/>
      <c r="N1" s="1"/>
      <c r="O1" s="1"/>
      <c r="P1" s="1"/>
      <c r="Q1" s="1"/>
      <c r="R1" s="1"/>
      <c r="S1" s="1"/>
      <c r="T1" s="1"/>
      <c r="U1" s="1"/>
      <c r="V1" s="1"/>
      <c r="W1" s="1"/>
      <c r="X1" s="1"/>
      <c r="Y1" s="1"/>
      <c r="Z1" s="1"/>
      <c r="AA1" s="1"/>
      <c r="AB1" s="1"/>
      <c r="AC1" s="1"/>
      <c r="AD1" s="1"/>
    </row>
    <row r="2" spans="1:41" ht="16.5" customHeight="1">
      <c r="A2" s="23"/>
      <c r="B2" s="23"/>
      <c r="C2" s="23"/>
      <c r="D2" s="23"/>
      <c r="E2" s="23"/>
      <c r="F2" s="23"/>
      <c r="G2" s="23"/>
      <c r="H2" s="286"/>
      <c r="I2" s="286"/>
      <c r="J2" s="23"/>
      <c r="K2" s="23"/>
      <c r="L2" s="1"/>
      <c r="M2" s="1"/>
      <c r="N2" s="1"/>
      <c r="O2" s="1"/>
      <c r="P2" s="1"/>
      <c r="Q2" s="1"/>
      <c r="R2" s="1"/>
      <c r="S2" s="1"/>
      <c r="T2" s="1"/>
      <c r="U2" s="1"/>
      <c r="V2" s="1"/>
      <c r="W2" s="1"/>
      <c r="X2" s="1"/>
      <c r="Y2" s="1"/>
      <c r="Z2" s="1"/>
      <c r="AA2" s="1"/>
      <c r="AB2" s="1"/>
      <c r="AC2" s="1"/>
      <c r="AD2" s="1"/>
    </row>
    <row r="3" spans="1:41" ht="16.5" customHeight="1">
      <c r="A3" s="311"/>
      <c r="B3" s="311"/>
      <c r="C3" s="311"/>
      <c r="D3" s="311"/>
      <c r="E3" s="311"/>
      <c r="F3" s="23"/>
      <c r="G3" s="23"/>
      <c r="H3" s="305" t="s">
        <v>1222</v>
      </c>
      <c r="I3" s="306"/>
      <c r="J3" s="306"/>
      <c r="K3" s="82"/>
      <c r="L3" s="1"/>
      <c r="M3" s="1"/>
      <c r="N3" s="1"/>
      <c r="O3" s="1"/>
      <c r="P3" s="1"/>
      <c r="Q3" s="1"/>
      <c r="R3" s="1"/>
      <c r="S3" s="1"/>
      <c r="T3" s="1"/>
      <c r="U3" s="1"/>
      <c r="V3" s="1"/>
      <c r="W3" s="1"/>
      <c r="X3" s="1"/>
      <c r="Y3" s="1"/>
      <c r="Z3" s="1"/>
      <c r="AA3" s="1"/>
      <c r="AB3" s="1"/>
      <c r="AC3" s="1"/>
      <c r="AD3" s="1"/>
    </row>
    <row r="4" spans="1:41" ht="16.5" customHeight="1">
      <c r="A4" s="280" t="s">
        <v>0</v>
      </c>
      <c r="B4" s="280"/>
      <c r="C4" s="280"/>
      <c r="D4" s="280"/>
      <c r="E4" s="280"/>
      <c r="F4" s="23"/>
      <c r="G4" s="23"/>
      <c r="H4" s="310"/>
      <c r="I4" s="310"/>
      <c r="J4" s="23"/>
      <c r="K4" s="23"/>
      <c r="L4" s="1"/>
      <c r="M4" s="1"/>
      <c r="N4" s="1"/>
      <c r="O4" s="1"/>
      <c r="P4" s="1"/>
      <c r="Q4" s="1"/>
      <c r="R4" s="1"/>
      <c r="S4" s="1"/>
      <c r="T4" s="1"/>
      <c r="U4" s="1"/>
      <c r="V4" s="1"/>
      <c r="W4" s="1"/>
      <c r="X4" s="1"/>
      <c r="Y4" s="1"/>
      <c r="Z4" s="1"/>
      <c r="AA4" s="1"/>
      <c r="AB4" s="1"/>
      <c r="AC4" s="1"/>
      <c r="AD4" s="1"/>
    </row>
    <row r="5" spans="1:41" ht="16.5" customHeight="1">
      <c r="A5" s="280" t="s">
        <v>1</v>
      </c>
      <c r="B5" s="280"/>
      <c r="C5" s="280"/>
      <c r="D5" s="280"/>
      <c r="E5" s="293"/>
      <c r="F5" s="23"/>
      <c r="G5" s="3"/>
      <c r="H5" s="294" t="s">
        <v>3</v>
      </c>
      <c r="I5" s="294"/>
      <c r="J5" s="298"/>
      <c r="K5" s="3"/>
      <c r="L5" s="1"/>
      <c r="M5" s="1"/>
      <c r="N5" s="1"/>
      <c r="O5" s="1"/>
      <c r="P5" s="1"/>
      <c r="Q5" s="1"/>
      <c r="R5" s="1"/>
      <c r="S5" s="1"/>
      <c r="T5" s="1"/>
      <c r="U5" s="1"/>
      <c r="V5" s="1"/>
      <c r="W5" s="1"/>
      <c r="X5" s="1"/>
      <c r="Y5" s="1"/>
      <c r="Z5" s="1"/>
      <c r="AA5" s="1"/>
      <c r="AB5" s="1"/>
      <c r="AC5" s="1"/>
      <c r="AD5" s="1"/>
    </row>
    <row r="6" spans="1:41" ht="16.5" customHeight="1">
      <c r="A6" s="280" t="s">
        <v>2</v>
      </c>
      <c r="B6" s="280"/>
      <c r="C6" s="280"/>
      <c r="D6" s="280"/>
      <c r="E6" s="293"/>
      <c r="F6" s="23"/>
      <c r="G6" s="3"/>
      <c r="H6" s="294" t="s">
        <v>24</v>
      </c>
      <c r="I6" s="294"/>
      <c r="J6" s="3"/>
      <c r="K6" s="3"/>
      <c r="L6" s="1"/>
      <c r="M6" s="1"/>
      <c r="N6" s="1"/>
      <c r="O6" s="1"/>
      <c r="P6" s="1"/>
      <c r="Q6" s="1"/>
      <c r="R6" s="1"/>
      <c r="S6" s="1"/>
      <c r="T6" s="1"/>
      <c r="U6" s="1"/>
      <c r="V6" s="1"/>
      <c r="W6" s="1"/>
      <c r="X6" s="1"/>
      <c r="Y6" s="1"/>
      <c r="Z6" s="1"/>
      <c r="AA6" s="1"/>
      <c r="AB6" s="1"/>
      <c r="AC6" s="1"/>
      <c r="AD6" s="1"/>
    </row>
    <row r="7" spans="1:41" ht="16.5" customHeight="1">
      <c r="A7" s="49"/>
      <c r="B7" s="49"/>
      <c r="C7" s="49"/>
      <c r="D7" s="54"/>
      <c r="E7" s="54"/>
      <c r="F7" s="23"/>
      <c r="G7" s="3"/>
      <c r="H7" s="294" t="s">
        <v>25</v>
      </c>
      <c r="I7" s="294"/>
      <c r="J7" s="294"/>
      <c r="K7" s="59"/>
      <c r="L7" s="1"/>
      <c r="M7" s="1"/>
      <c r="N7" s="1"/>
      <c r="O7" s="1"/>
      <c r="P7" s="1"/>
      <c r="Q7" s="1"/>
      <c r="R7" s="1"/>
      <c r="S7" s="1"/>
      <c r="T7" s="1"/>
      <c r="U7" s="1"/>
      <c r="V7" s="1"/>
      <c r="W7" s="1"/>
      <c r="X7" s="1"/>
      <c r="Y7" s="1"/>
      <c r="Z7" s="1"/>
      <c r="AA7" s="1"/>
      <c r="AB7" s="1"/>
      <c r="AC7" s="1"/>
      <c r="AD7" s="1"/>
    </row>
    <row r="8" spans="1:41" ht="16.5" customHeight="1">
      <c r="A8" s="297"/>
      <c r="B8" s="297"/>
      <c r="C8" s="297"/>
      <c r="D8" s="297"/>
      <c r="E8" s="55" t="s">
        <v>30</v>
      </c>
      <c r="F8" s="23"/>
      <c r="G8" s="3"/>
      <c r="H8" s="294" t="s">
        <v>26</v>
      </c>
      <c r="I8" s="294"/>
      <c r="J8" s="298"/>
      <c r="K8" s="3"/>
      <c r="L8" s="1"/>
      <c r="M8" s="1"/>
      <c r="N8" s="1"/>
      <c r="O8" s="1"/>
      <c r="P8" s="1"/>
      <c r="Q8" s="1"/>
      <c r="R8" s="1"/>
      <c r="S8" s="1"/>
      <c r="T8" s="1"/>
      <c r="U8" s="1"/>
      <c r="V8" s="1"/>
      <c r="W8" s="1"/>
      <c r="X8" s="1"/>
      <c r="Y8" s="1"/>
      <c r="Z8" s="1"/>
      <c r="AA8" s="1"/>
      <c r="AB8" s="1"/>
      <c r="AC8" s="1"/>
      <c r="AD8" s="1"/>
    </row>
    <row r="9" spans="1:41" ht="16.5" customHeight="1">
      <c r="A9" s="60"/>
      <c r="B9" s="51"/>
      <c r="C9" s="49"/>
      <c r="D9" s="65"/>
      <c r="E9" s="55" t="s">
        <v>5</v>
      </c>
      <c r="F9" s="23"/>
      <c r="G9" s="3"/>
      <c r="H9" s="294" t="s">
        <v>27</v>
      </c>
      <c r="I9" s="294"/>
      <c r="J9" s="298"/>
      <c r="K9" s="3"/>
      <c r="L9" s="1"/>
      <c r="M9" s="1"/>
      <c r="N9" s="1"/>
      <c r="O9" s="1"/>
      <c r="P9" s="1"/>
      <c r="Q9" s="1"/>
      <c r="R9" s="1"/>
      <c r="S9" s="401"/>
      <c r="T9" s="308"/>
      <c r="U9" s="1"/>
      <c r="V9" s="1"/>
      <c r="W9" s="1"/>
      <c r="X9" s="1"/>
      <c r="Y9" s="1"/>
      <c r="Z9" s="1"/>
      <c r="AA9" s="1"/>
      <c r="AB9" s="1"/>
      <c r="AC9" s="1"/>
      <c r="AD9" s="1"/>
    </row>
    <row r="10" spans="1:41" ht="16.5" customHeight="1">
      <c r="A10" s="56"/>
      <c r="B10" s="56"/>
      <c r="C10" s="56"/>
      <c r="D10" s="49"/>
      <c r="E10" s="49"/>
      <c r="F10" s="23"/>
      <c r="G10" s="294" t="s">
        <v>431</v>
      </c>
      <c r="H10" s="294"/>
      <c r="I10" s="294"/>
      <c r="J10" s="294"/>
      <c r="K10" s="59"/>
      <c r="L10" s="244"/>
      <c r="M10" s="244"/>
      <c r="N10" s="244"/>
      <c r="O10" s="46"/>
      <c r="P10" s="46"/>
      <c r="Q10" s="46"/>
      <c r="R10" s="297"/>
      <c r="S10" s="321"/>
      <c r="T10" s="321"/>
      <c r="U10" s="46"/>
      <c r="V10" s="50"/>
      <c r="W10" s="1"/>
      <c r="X10" s="3"/>
      <c r="Y10" s="3"/>
      <c r="Z10" s="94"/>
      <c r="AA10" s="94"/>
      <c r="AB10" s="94"/>
      <c r="AC10" s="94"/>
      <c r="AO10" s="8"/>
    </row>
    <row r="11" spans="1:41" ht="16.5" customHeight="1">
      <c r="A11" s="57"/>
      <c r="B11" s="295" t="s">
        <v>1210</v>
      </c>
      <c r="C11" s="295"/>
      <c r="D11" s="295"/>
      <c r="E11" s="295"/>
      <c r="F11" s="23"/>
      <c r="G11" s="296"/>
      <c r="H11" s="296"/>
      <c r="I11" s="296"/>
      <c r="J11" s="296"/>
      <c r="K11" s="23"/>
      <c r="L11" s="140" t="s">
        <v>433</v>
      </c>
      <c r="M11" s="140"/>
      <c r="N11" s="140"/>
      <c r="O11" s="15"/>
      <c r="P11" s="15" t="s">
        <v>50</v>
      </c>
      <c r="Q11" s="15" t="s">
        <v>48</v>
      </c>
      <c r="V11" s="53"/>
      <c r="W11" s="15" t="s">
        <v>50</v>
      </c>
      <c r="X11" s="15" t="s">
        <v>49</v>
      </c>
      <c r="Y11" s="15" t="s">
        <v>48</v>
      </c>
      <c r="Z11" s="297"/>
      <c r="AA11" s="297"/>
      <c r="AB11" s="297"/>
      <c r="AC11" s="297"/>
      <c r="AD11" s="15" t="s">
        <v>50</v>
      </c>
      <c r="AE11" s="15" t="s">
        <v>49</v>
      </c>
      <c r="AF11" s="15" t="s">
        <v>48</v>
      </c>
    </row>
    <row r="12" spans="1:41" ht="16.5" customHeight="1">
      <c r="A12" s="2" t="s">
        <v>6</v>
      </c>
      <c r="B12" s="262"/>
      <c r="C12" s="263"/>
      <c r="D12" s="263"/>
      <c r="E12" s="264"/>
      <c r="F12" s="23"/>
      <c r="G12" s="23"/>
      <c r="H12" s="24"/>
      <c r="I12" s="24"/>
      <c r="J12" s="24"/>
      <c r="K12" s="24"/>
      <c r="L12" s="255" t="s">
        <v>1219</v>
      </c>
      <c r="M12" s="256"/>
      <c r="N12" s="439" t="s">
        <v>432</v>
      </c>
      <c r="O12" s="483"/>
      <c r="P12" s="99"/>
      <c r="Q12" s="99"/>
      <c r="R12" s="4" t="s">
        <v>215</v>
      </c>
      <c r="S12" s="401" t="s">
        <v>1211</v>
      </c>
      <c r="T12" s="308"/>
      <c r="U12" s="402" t="s">
        <v>93</v>
      </c>
      <c r="V12" s="403"/>
      <c r="W12" s="38">
        <v>200</v>
      </c>
      <c r="X12" s="38">
        <v>300</v>
      </c>
      <c r="Y12" s="38">
        <v>300</v>
      </c>
      <c r="Z12" s="436" t="s">
        <v>267</v>
      </c>
      <c r="AA12" s="437"/>
      <c r="AB12" s="429" t="s">
        <v>68</v>
      </c>
      <c r="AC12" s="447"/>
      <c r="AD12" s="95">
        <v>330</v>
      </c>
      <c r="AE12" s="95"/>
      <c r="AF12" s="95">
        <v>400</v>
      </c>
      <c r="AI12" s="448" t="s">
        <v>67</v>
      </c>
      <c r="AJ12" s="448"/>
    </row>
    <row r="13" spans="1:41" ht="16.5" customHeight="1">
      <c r="A13" s="2" t="s">
        <v>7</v>
      </c>
      <c r="B13" s="262" t="s">
        <v>359</v>
      </c>
      <c r="C13" s="263"/>
      <c r="D13" s="263"/>
      <c r="E13" s="264"/>
      <c r="F13" s="23"/>
      <c r="G13" s="23"/>
      <c r="H13" s="315"/>
      <c r="I13" s="312" t="s">
        <v>425</v>
      </c>
      <c r="J13" s="315"/>
      <c r="K13" s="28"/>
      <c r="L13" s="482" t="s">
        <v>1220</v>
      </c>
      <c r="M13" s="327"/>
      <c r="N13" s="430" t="s">
        <v>105</v>
      </c>
      <c r="O13" s="431"/>
      <c r="P13" s="252"/>
      <c r="Q13" s="99"/>
      <c r="R13" s="4" t="s">
        <v>216</v>
      </c>
      <c r="S13" s="401" t="s">
        <v>220</v>
      </c>
      <c r="T13" s="308"/>
      <c r="U13" s="402" t="s">
        <v>92</v>
      </c>
      <c r="V13" s="403"/>
      <c r="W13" s="38">
        <v>300</v>
      </c>
      <c r="X13" s="38">
        <v>350</v>
      </c>
      <c r="Y13" s="38">
        <v>400</v>
      </c>
      <c r="Z13" s="436" t="s">
        <v>268</v>
      </c>
      <c r="AA13" s="437"/>
      <c r="AB13" s="429" t="s">
        <v>69</v>
      </c>
      <c r="AC13" s="447"/>
      <c r="AD13" s="95">
        <v>300</v>
      </c>
      <c r="AE13" s="95"/>
      <c r="AF13" s="95">
        <v>380</v>
      </c>
      <c r="AI13" s="445"/>
      <c r="AJ13" s="445"/>
    </row>
    <row r="14" spans="1:41" ht="16.5" customHeight="1">
      <c r="A14" s="2" t="s">
        <v>8</v>
      </c>
      <c r="B14" s="262" t="s">
        <v>21</v>
      </c>
      <c r="C14" s="263"/>
      <c r="D14" s="263"/>
      <c r="E14" s="264"/>
      <c r="F14" s="23"/>
      <c r="G14" s="23"/>
      <c r="H14" s="316"/>
      <c r="I14" s="313"/>
      <c r="J14" s="316"/>
      <c r="K14" s="28"/>
      <c r="L14" s="424" t="s">
        <v>876</v>
      </c>
      <c r="M14" s="425"/>
      <c r="N14" s="430" t="s">
        <v>434</v>
      </c>
      <c r="O14" s="431"/>
      <c r="P14" s="99"/>
      <c r="Q14" s="99"/>
      <c r="R14" s="4" t="s">
        <v>215</v>
      </c>
      <c r="S14" s="401" t="s">
        <v>221</v>
      </c>
      <c r="T14" s="308"/>
      <c r="U14" s="402" t="s">
        <v>91</v>
      </c>
      <c r="V14" s="403"/>
      <c r="W14" s="38">
        <v>300</v>
      </c>
      <c r="X14" s="38">
        <v>350</v>
      </c>
      <c r="Y14" s="38">
        <v>400</v>
      </c>
      <c r="Z14" s="436" t="s">
        <v>269</v>
      </c>
      <c r="AA14" s="437"/>
      <c r="AB14" s="429" t="s">
        <v>70</v>
      </c>
      <c r="AC14" s="447"/>
      <c r="AD14" s="95">
        <v>1900</v>
      </c>
      <c r="AE14" s="95"/>
      <c r="AF14" s="95">
        <v>2300</v>
      </c>
      <c r="AI14" s="445"/>
      <c r="AJ14" s="445"/>
    </row>
    <row r="15" spans="1:41" ht="16.5" customHeight="1">
      <c r="A15" s="2" t="s">
        <v>9</v>
      </c>
      <c r="B15" s="262" t="s">
        <v>22</v>
      </c>
      <c r="C15" s="263"/>
      <c r="D15" s="263"/>
      <c r="E15" s="264"/>
      <c r="F15" s="23"/>
      <c r="G15" s="23"/>
      <c r="H15" s="316"/>
      <c r="I15" s="313"/>
      <c r="J15" s="316"/>
      <c r="K15" s="28"/>
      <c r="L15" s="399" t="s">
        <v>874</v>
      </c>
      <c r="M15" s="400"/>
      <c r="N15" s="408" t="s">
        <v>101</v>
      </c>
      <c r="O15" s="409"/>
      <c r="P15" s="99"/>
      <c r="Q15" s="99"/>
      <c r="R15" s="4" t="s">
        <v>215</v>
      </c>
      <c r="S15" s="401" t="s">
        <v>222</v>
      </c>
      <c r="T15" s="308"/>
      <c r="U15" s="402" t="s">
        <v>90</v>
      </c>
      <c r="V15" s="403"/>
      <c r="W15" s="38">
        <v>300</v>
      </c>
      <c r="X15" s="38">
        <v>350</v>
      </c>
      <c r="Y15" s="38">
        <v>400</v>
      </c>
      <c r="Z15" s="436" t="s">
        <v>270</v>
      </c>
      <c r="AA15" s="437"/>
      <c r="AB15" s="429" t="s">
        <v>71</v>
      </c>
      <c r="AC15" s="447"/>
      <c r="AD15" s="95">
        <v>300</v>
      </c>
      <c r="AE15" s="95"/>
      <c r="AF15" s="95">
        <v>400</v>
      </c>
      <c r="AI15" s="445"/>
      <c r="AJ15" s="445"/>
    </row>
    <row r="16" spans="1:41" ht="16.5" customHeight="1">
      <c r="A16" s="2" t="s">
        <v>10</v>
      </c>
      <c r="B16" s="262" t="s">
        <v>23</v>
      </c>
      <c r="C16" s="263"/>
      <c r="D16" s="263"/>
      <c r="E16" s="264"/>
      <c r="F16" s="23"/>
      <c r="G16" s="23"/>
      <c r="H16" s="317"/>
      <c r="I16" s="314"/>
      <c r="J16" s="317"/>
      <c r="K16" s="28"/>
      <c r="L16" s="399" t="s">
        <v>868</v>
      </c>
      <c r="M16" s="400"/>
      <c r="N16" s="408" t="s">
        <v>100</v>
      </c>
      <c r="O16" s="409"/>
      <c r="P16" s="99"/>
      <c r="Q16" s="99"/>
      <c r="R16" s="4" t="s">
        <v>215</v>
      </c>
      <c r="S16" s="401" t="s">
        <v>1208</v>
      </c>
      <c r="T16" s="308"/>
      <c r="U16" s="402" t="s">
        <v>94</v>
      </c>
      <c r="V16" s="403"/>
      <c r="W16" s="38">
        <v>1500</v>
      </c>
      <c r="X16" s="38">
        <v>1800</v>
      </c>
      <c r="Y16" s="38">
        <v>2000</v>
      </c>
      <c r="Z16" s="436" t="s">
        <v>271</v>
      </c>
      <c r="AA16" s="437"/>
      <c r="AB16" s="429" t="s">
        <v>72</v>
      </c>
      <c r="AC16" s="447"/>
      <c r="AD16" s="95">
        <v>800</v>
      </c>
      <c r="AE16" s="95"/>
      <c r="AF16" s="95">
        <v>1000</v>
      </c>
      <c r="AI16" s="445"/>
      <c r="AJ16" s="445"/>
    </row>
    <row r="17" spans="1:36" ht="16.5" customHeight="1">
      <c r="A17" s="3"/>
      <c r="B17" s="49"/>
      <c r="C17" s="49"/>
      <c r="D17" s="49"/>
      <c r="E17" s="49"/>
      <c r="F17" s="23"/>
      <c r="G17" s="23"/>
      <c r="H17" s="23"/>
      <c r="I17" s="23"/>
      <c r="J17" s="23"/>
      <c r="K17" s="23"/>
      <c r="L17" s="399" t="s">
        <v>869</v>
      </c>
      <c r="M17" s="400"/>
      <c r="N17" s="408" t="s">
        <v>205</v>
      </c>
      <c r="O17" s="409"/>
      <c r="P17" s="99"/>
      <c r="Q17" s="99"/>
      <c r="R17" s="4" t="s">
        <v>215</v>
      </c>
      <c r="S17" s="401" t="s">
        <v>903</v>
      </c>
      <c r="T17" s="308"/>
      <c r="U17" s="402" t="s">
        <v>176</v>
      </c>
      <c r="V17" s="403"/>
      <c r="W17" s="38">
        <v>1700</v>
      </c>
      <c r="X17" s="38">
        <v>1900</v>
      </c>
      <c r="Y17" s="38">
        <v>2100</v>
      </c>
      <c r="Z17" s="436" t="s">
        <v>272</v>
      </c>
      <c r="AA17" s="437"/>
      <c r="AB17" s="409" t="s">
        <v>73</v>
      </c>
      <c r="AC17" s="449"/>
      <c r="AD17" s="95">
        <v>1350</v>
      </c>
      <c r="AE17" s="95"/>
      <c r="AF17" s="95">
        <v>1700</v>
      </c>
      <c r="AI17" s="445" t="s">
        <v>77</v>
      </c>
      <c r="AJ17" s="445"/>
    </row>
    <row r="18" spans="1:36" ht="16.5" customHeight="1">
      <c r="A18" s="2" t="s">
        <v>12</v>
      </c>
      <c r="B18" s="318"/>
      <c r="C18" s="319"/>
      <c r="D18" s="319"/>
      <c r="E18" s="320"/>
      <c r="F18" s="281" t="s">
        <v>13</v>
      </c>
      <c r="G18" s="282"/>
      <c r="H18" s="283"/>
      <c r="I18" s="284"/>
      <c r="J18" s="77"/>
      <c r="K18" s="77"/>
      <c r="L18" s="399" t="s">
        <v>870</v>
      </c>
      <c r="M18" s="400"/>
      <c r="N18" s="408" t="s">
        <v>66</v>
      </c>
      <c r="O18" s="409"/>
      <c r="P18" s="99"/>
      <c r="Q18" s="99"/>
      <c r="R18" s="4" t="s">
        <v>215</v>
      </c>
      <c r="S18" s="401" t="s">
        <v>225</v>
      </c>
      <c r="T18" s="308"/>
      <c r="U18" s="402" t="s">
        <v>95</v>
      </c>
      <c r="V18" s="403"/>
      <c r="W18" s="38">
        <v>2000</v>
      </c>
      <c r="X18" s="38">
        <v>2200</v>
      </c>
      <c r="Y18" s="38">
        <v>2500</v>
      </c>
      <c r="Z18" s="436" t="s">
        <v>273</v>
      </c>
      <c r="AA18" s="437"/>
      <c r="AB18" s="429" t="s">
        <v>74</v>
      </c>
      <c r="AC18" s="447"/>
      <c r="AD18" s="95">
        <v>100</v>
      </c>
      <c r="AE18" s="95"/>
      <c r="AF18" s="95">
        <v>120</v>
      </c>
      <c r="AI18" s="445"/>
      <c r="AJ18" s="445"/>
    </row>
    <row r="19" spans="1:36" ht="16.5" customHeight="1">
      <c r="A19" s="49"/>
      <c r="B19" s="49"/>
      <c r="C19" s="49"/>
      <c r="D19" s="49"/>
      <c r="E19" s="49"/>
      <c r="F19" s="23"/>
      <c r="G19" s="23"/>
      <c r="H19" s="23"/>
      <c r="I19" s="304"/>
      <c r="J19" s="304"/>
      <c r="K19" s="11"/>
      <c r="L19" s="399" t="s">
        <v>871</v>
      </c>
      <c r="M19" s="400"/>
      <c r="N19" s="408" t="s">
        <v>206</v>
      </c>
      <c r="O19" s="409"/>
      <c r="P19" s="99"/>
      <c r="Q19" s="99"/>
      <c r="R19" s="4" t="s">
        <v>215</v>
      </c>
      <c r="S19" s="401" t="s">
        <v>226</v>
      </c>
      <c r="T19" s="308"/>
      <c r="U19" s="402" t="s">
        <v>96</v>
      </c>
      <c r="V19" s="403"/>
      <c r="W19" s="38">
        <v>45500</v>
      </c>
      <c r="X19" s="38">
        <v>50000</v>
      </c>
      <c r="Y19" s="38">
        <v>55200</v>
      </c>
      <c r="Z19" s="436" t="s">
        <v>274</v>
      </c>
      <c r="AA19" s="437"/>
      <c r="AB19" s="409" t="s">
        <v>75</v>
      </c>
      <c r="AC19" s="449"/>
      <c r="AD19" s="95">
        <v>260</v>
      </c>
      <c r="AE19" s="95"/>
      <c r="AF19" s="95">
        <v>320</v>
      </c>
      <c r="AI19" s="445"/>
      <c r="AJ19" s="445"/>
    </row>
    <row r="20" spans="1:36" ht="16.5" customHeight="1">
      <c r="A20" s="5" t="s">
        <v>14</v>
      </c>
      <c r="B20" s="301" t="s">
        <v>20</v>
      </c>
      <c r="C20" s="302"/>
      <c r="D20" s="302"/>
      <c r="E20" s="303"/>
      <c r="F20" s="27" t="s">
        <v>19</v>
      </c>
      <c r="G20" s="27" t="s">
        <v>18</v>
      </c>
      <c r="H20" s="27" t="s">
        <v>29</v>
      </c>
      <c r="I20" s="27" t="s">
        <v>16</v>
      </c>
      <c r="J20" s="27" t="s">
        <v>17</v>
      </c>
      <c r="K20" s="82"/>
      <c r="L20" s="399" t="s">
        <v>872</v>
      </c>
      <c r="M20" s="400"/>
      <c r="N20" s="408" t="s">
        <v>261</v>
      </c>
      <c r="O20" s="409"/>
      <c r="P20" s="99"/>
      <c r="Q20" s="99"/>
      <c r="R20" s="4" t="s">
        <v>215</v>
      </c>
      <c r="S20" s="401" t="s">
        <v>1209</v>
      </c>
      <c r="T20" s="308"/>
      <c r="U20" s="415" t="s">
        <v>249</v>
      </c>
      <c r="V20" s="416"/>
      <c r="W20" s="38">
        <v>180</v>
      </c>
      <c r="X20" s="38">
        <v>220</v>
      </c>
      <c r="Y20" s="38">
        <v>250</v>
      </c>
      <c r="Z20" s="436" t="s">
        <v>275</v>
      </c>
      <c r="AA20" s="437"/>
      <c r="AB20" s="409" t="s">
        <v>76</v>
      </c>
      <c r="AC20" s="449"/>
      <c r="AD20" s="95">
        <v>210</v>
      </c>
      <c r="AE20" s="95"/>
      <c r="AF20" s="95">
        <v>250</v>
      </c>
      <c r="AI20" s="445"/>
      <c r="AJ20" s="445"/>
    </row>
    <row r="21" spans="1:36" ht="16.5" customHeight="1">
      <c r="A21" s="202"/>
      <c r="B21" s="398"/>
      <c r="C21" s="325"/>
      <c r="D21" s="325"/>
      <c r="E21" s="326"/>
      <c r="F21" s="16"/>
      <c r="G21" s="16"/>
      <c r="H21" s="17"/>
      <c r="I21" s="17"/>
      <c r="J21" s="102"/>
      <c r="K21" s="59"/>
      <c r="L21" s="399" t="s">
        <v>873</v>
      </c>
      <c r="M21" s="400"/>
      <c r="N21" s="408" t="s">
        <v>207</v>
      </c>
      <c r="O21" s="409"/>
      <c r="P21" s="99"/>
      <c r="Q21" s="99"/>
      <c r="R21" s="4" t="s">
        <v>217</v>
      </c>
      <c r="S21" s="401" t="s">
        <v>907</v>
      </c>
      <c r="T21" s="308"/>
      <c r="U21" s="402" t="s">
        <v>248</v>
      </c>
      <c r="V21" s="403"/>
      <c r="W21" s="38">
        <v>1000</v>
      </c>
      <c r="X21" s="38">
        <v>1300</v>
      </c>
      <c r="Y21" s="38">
        <v>1500</v>
      </c>
      <c r="Z21" s="436" t="s">
        <v>284</v>
      </c>
      <c r="AA21" s="437"/>
      <c r="AB21" s="429" t="s">
        <v>288</v>
      </c>
      <c r="AC21" s="447"/>
      <c r="AD21" s="95">
        <v>700</v>
      </c>
      <c r="AE21" s="95"/>
      <c r="AF21" s="95">
        <v>850</v>
      </c>
      <c r="AI21" s="445"/>
      <c r="AJ21" s="445"/>
    </row>
    <row r="22" spans="1:36" ht="16.5" customHeight="1">
      <c r="A22" s="202"/>
      <c r="B22" s="399"/>
      <c r="C22" s="400"/>
      <c r="D22" s="400"/>
      <c r="E22" s="458"/>
      <c r="F22" s="16"/>
      <c r="G22" s="16"/>
      <c r="H22" s="17"/>
      <c r="I22" s="17"/>
      <c r="J22" s="21"/>
      <c r="K22" s="11"/>
      <c r="L22" s="399" t="s">
        <v>877</v>
      </c>
      <c r="M22" s="400"/>
      <c r="N22" s="408" t="s">
        <v>62</v>
      </c>
      <c r="O22" s="409"/>
      <c r="P22" s="99"/>
      <c r="Q22" s="99"/>
      <c r="R22" s="4" t="s">
        <v>217</v>
      </c>
      <c r="S22" s="401" t="s">
        <v>908</v>
      </c>
      <c r="T22" s="308"/>
      <c r="U22" s="415" t="s">
        <v>248</v>
      </c>
      <c r="V22" s="416"/>
      <c r="W22" s="38">
        <v>1500</v>
      </c>
      <c r="X22" s="38">
        <v>1700</v>
      </c>
      <c r="Y22" s="38">
        <v>1800</v>
      </c>
      <c r="Z22" s="436" t="s">
        <v>276</v>
      </c>
      <c r="AA22" s="437"/>
      <c r="AB22" s="429" t="s">
        <v>68</v>
      </c>
      <c r="AC22" s="447"/>
      <c r="AD22" s="95">
        <v>200</v>
      </c>
      <c r="AE22" s="95"/>
      <c r="AF22" s="95">
        <v>250</v>
      </c>
      <c r="AI22" s="445" t="s">
        <v>78</v>
      </c>
      <c r="AJ22" s="445"/>
    </row>
    <row r="23" spans="1:36" ht="16.5" customHeight="1">
      <c r="A23" s="202"/>
      <c r="B23" s="399"/>
      <c r="C23" s="400"/>
      <c r="D23" s="400"/>
      <c r="E23" s="458"/>
      <c r="F23" s="16"/>
      <c r="G23" s="16"/>
      <c r="H23" s="17"/>
      <c r="I23" s="17"/>
      <c r="J23" s="16"/>
      <c r="K23" s="11"/>
      <c r="L23" s="399" t="s">
        <v>878</v>
      </c>
      <c r="M23" s="400"/>
      <c r="N23" s="408" t="s">
        <v>435</v>
      </c>
      <c r="O23" s="409"/>
      <c r="P23" s="99"/>
      <c r="Q23" s="99"/>
      <c r="R23" s="4" t="s">
        <v>217</v>
      </c>
      <c r="S23" s="401" t="s">
        <v>909</v>
      </c>
      <c r="T23" s="308"/>
      <c r="U23" s="402" t="s">
        <v>248</v>
      </c>
      <c r="V23" s="403"/>
      <c r="W23" s="38">
        <v>1800</v>
      </c>
      <c r="X23" s="38">
        <v>2200</v>
      </c>
      <c r="Y23" s="38">
        <v>2500</v>
      </c>
      <c r="Z23" s="436" t="s">
        <v>270</v>
      </c>
      <c r="AA23" s="437"/>
      <c r="AB23" s="429" t="s">
        <v>69</v>
      </c>
      <c r="AC23" s="447"/>
      <c r="AD23" s="95">
        <v>260</v>
      </c>
      <c r="AE23" s="95"/>
      <c r="AF23" s="95">
        <v>330</v>
      </c>
      <c r="AI23" s="445"/>
      <c r="AJ23" s="445"/>
    </row>
    <row r="24" spans="1:36" ht="16.5" customHeight="1">
      <c r="A24" s="202"/>
      <c r="B24" s="481"/>
      <c r="C24" s="479"/>
      <c r="D24" s="479"/>
      <c r="E24" s="480"/>
      <c r="F24" s="16"/>
      <c r="G24" s="16"/>
      <c r="H24" s="17"/>
      <c r="I24" s="17"/>
      <c r="J24" s="16"/>
      <c r="K24" s="11"/>
      <c r="L24" s="399" t="s">
        <v>879</v>
      </c>
      <c r="M24" s="400"/>
      <c r="N24" s="408" t="s">
        <v>63</v>
      </c>
      <c r="O24" s="409"/>
      <c r="P24" s="99"/>
      <c r="Q24" s="99"/>
      <c r="R24" s="4" t="s">
        <v>217</v>
      </c>
      <c r="S24" s="401" t="s">
        <v>910</v>
      </c>
      <c r="T24" s="308"/>
      <c r="U24" s="415" t="s">
        <v>248</v>
      </c>
      <c r="V24" s="416"/>
      <c r="W24" s="38">
        <v>2500</v>
      </c>
      <c r="X24" s="38">
        <v>3000</v>
      </c>
      <c r="Y24" s="38">
        <v>3500</v>
      </c>
      <c r="Z24" s="436" t="s">
        <v>277</v>
      </c>
      <c r="AA24" s="437"/>
      <c r="AB24" s="429" t="s">
        <v>70</v>
      </c>
      <c r="AC24" s="447"/>
      <c r="AD24" s="95">
        <v>1200</v>
      </c>
      <c r="AE24" s="95"/>
      <c r="AF24" s="95">
        <v>1500</v>
      </c>
      <c r="AI24" s="445"/>
      <c r="AJ24" s="445"/>
    </row>
    <row r="25" spans="1:36" ht="16.5" customHeight="1">
      <c r="A25" s="202"/>
      <c r="B25" s="398"/>
      <c r="C25" s="325"/>
      <c r="D25" s="417"/>
      <c r="E25" s="418"/>
      <c r="F25" s="16"/>
      <c r="G25" s="16"/>
      <c r="H25" s="17"/>
      <c r="I25" s="17"/>
      <c r="J25" s="16"/>
      <c r="K25" s="11"/>
      <c r="L25" s="399" t="s">
        <v>880</v>
      </c>
      <c r="M25" s="400"/>
      <c r="N25" s="408" t="s">
        <v>436</v>
      </c>
      <c r="O25" s="409"/>
      <c r="P25" s="99"/>
      <c r="Q25" s="99"/>
      <c r="R25" s="4" t="s">
        <v>217</v>
      </c>
      <c r="S25" s="401" t="s">
        <v>911</v>
      </c>
      <c r="T25" s="308"/>
      <c r="U25" s="402" t="s">
        <v>248</v>
      </c>
      <c r="V25" s="403"/>
      <c r="W25" s="38">
        <v>4500</v>
      </c>
      <c r="X25" s="38">
        <v>5500</v>
      </c>
      <c r="Y25" s="38">
        <v>6000</v>
      </c>
      <c r="Z25" s="436" t="s">
        <v>270</v>
      </c>
      <c r="AA25" s="437"/>
      <c r="AB25" s="429" t="s">
        <v>71</v>
      </c>
      <c r="AC25" s="447"/>
      <c r="AD25" s="95">
        <v>260</v>
      </c>
      <c r="AE25" s="95"/>
      <c r="AF25" s="95">
        <v>330</v>
      </c>
      <c r="AI25" s="445"/>
      <c r="AJ25" s="445"/>
    </row>
    <row r="26" spans="1:36" ht="16.5" customHeight="1">
      <c r="A26" s="202"/>
      <c r="B26" s="398"/>
      <c r="C26" s="325"/>
      <c r="D26" s="325"/>
      <c r="E26" s="326"/>
      <c r="F26" s="16"/>
      <c r="G26" s="16"/>
      <c r="H26" s="17"/>
      <c r="I26" s="17"/>
      <c r="J26" s="16"/>
      <c r="K26" s="11"/>
      <c r="L26" s="399" t="s">
        <v>881</v>
      </c>
      <c r="M26" s="400"/>
      <c r="N26" s="408" t="s">
        <v>64</v>
      </c>
      <c r="O26" s="409"/>
      <c r="P26" s="99"/>
      <c r="Q26" s="99"/>
      <c r="R26" s="4" t="s">
        <v>216</v>
      </c>
      <c r="S26" s="419" t="s">
        <v>904</v>
      </c>
      <c r="T26" s="420"/>
      <c r="U26" s="415" t="s">
        <v>354</v>
      </c>
      <c r="V26" s="416"/>
      <c r="W26" s="38">
        <v>1900</v>
      </c>
      <c r="X26" s="38">
        <v>2100</v>
      </c>
      <c r="Y26" s="38">
        <v>2300</v>
      </c>
      <c r="Z26" s="436" t="s">
        <v>278</v>
      </c>
      <c r="AA26" s="437"/>
      <c r="AB26" s="429" t="s">
        <v>72</v>
      </c>
      <c r="AC26" s="447"/>
      <c r="AD26" s="95">
        <v>800</v>
      </c>
      <c r="AE26" s="95"/>
      <c r="AF26" s="95">
        <v>1000</v>
      </c>
      <c r="AI26" s="445"/>
      <c r="AJ26" s="445"/>
    </row>
    <row r="27" spans="1:36" ht="16.5" customHeight="1">
      <c r="A27" s="202"/>
      <c r="B27" s="419"/>
      <c r="C27" s="420"/>
      <c r="D27" s="420"/>
      <c r="E27" s="420"/>
      <c r="F27" s="16"/>
      <c r="G27" s="16"/>
      <c r="H27" s="17"/>
      <c r="I27" s="17"/>
      <c r="J27" s="16"/>
      <c r="K27" s="11"/>
      <c r="L27" s="399" t="s">
        <v>882</v>
      </c>
      <c r="M27" s="400"/>
      <c r="N27" s="408" t="s">
        <v>437</v>
      </c>
      <c r="O27" s="409"/>
      <c r="P27" s="99"/>
      <c r="Q27" s="99"/>
      <c r="R27" s="4" t="s">
        <v>216</v>
      </c>
      <c r="S27" s="398" t="s">
        <v>905</v>
      </c>
      <c r="T27" s="325"/>
      <c r="U27" s="402" t="s">
        <v>354</v>
      </c>
      <c r="V27" s="403"/>
      <c r="W27" s="38">
        <v>1900</v>
      </c>
      <c r="X27" s="38">
        <v>2100</v>
      </c>
      <c r="Y27" s="38">
        <v>2300</v>
      </c>
      <c r="Z27" s="436" t="s">
        <v>279</v>
      </c>
      <c r="AA27" s="437"/>
      <c r="AB27" s="429" t="s">
        <v>80</v>
      </c>
      <c r="AC27" s="447"/>
      <c r="AD27" s="95"/>
      <c r="AE27" s="95"/>
      <c r="AF27" s="95"/>
      <c r="AI27" s="445" t="s">
        <v>79</v>
      </c>
      <c r="AJ27" s="445"/>
    </row>
    <row r="28" spans="1:36" ht="16.5" customHeight="1">
      <c r="A28" s="202"/>
      <c r="B28" s="419"/>
      <c r="C28" s="420"/>
      <c r="D28" s="420"/>
      <c r="E28" s="420"/>
      <c r="F28" s="16"/>
      <c r="G28" s="16"/>
      <c r="H28" s="17"/>
      <c r="I28" s="17"/>
      <c r="J28" s="16"/>
      <c r="K28" s="11"/>
      <c r="L28" s="399" t="s">
        <v>883</v>
      </c>
      <c r="M28" s="400"/>
      <c r="N28" s="408" t="s">
        <v>390</v>
      </c>
      <c r="O28" s="409"/>
      <c r="P28" s="99"/>
      <c r="Q28" s="99"/>
      <c r="R28" s="4" t="s">
        <v>216</v>
      </c>
      <c r="S28" s="423" t="s">
        <v>906</v>
      </c>
      <c r="T28" s="417"/>
      <c r="U28" s="415" t="s">
        <v>354</v>
      </c>
      <c r="V28" s="416"/>
      <c r="W28" s="38">
        <v>2000</v>
      </c>
      <c r="X28" s="38">
        <v>2200</v>
      </c>
      <c r="Y28" s="38">
        <v>2400</v>
      </c>
      <c r="Z28" s="436" t="s">
        <v>280</v>
      </c>
      <c r="AA28" s="437"/>
      <c r="AB28" s="429" t="s">
        <v>71</v>
      </c>
      <c r="AC28" s="447"/>
      <c r="AD28" s="95">
        <v>400</v>
      </c>
      <c r="AE28" s="95"/>
      <c r="AF28" s="95">
        <v>500</v>
      </c>
      <c r="AI28" s="445"/>
      <c r="AJ28" s="445"/>
    </row>
    <row r="29" spans="1:36" ht="16.5" customHeight="1">
      <c r="A29" s="202"/>
      <c r="B29" s="419"/>
      <c r="C29" s="420"/>
      <c r="D29" s="420"/>
      <c r="E29" s="420"/>
      <c r="F29" s="16"/>
      <c r="G29" s="16"/>
      <c r="H29" s="17"/>
      <c r="I29" s="17"/>
      <c r="J29" s="16"/>
      <c r="K29" s="11"/>
      <c r="L29" s="399" t="s">
        <v>884</v>
      </c>
      <c r="M29" s="400"/>
      <c r="N29" s="408" t="s">
        <v>390</v>
      </c>
      <c r="O29" s="409"/>
      <c r="P29" s="99"/>
      <c r="Q29" s="99"/>
      <c r="R29" s="4" t="s">
        <v>216</v>
      </c>
      <c r="S29" s="401" t="s">
        <v>230</v>
      </c>
      <c r="T29" s="308"/>
      <c r="U29" s="402" t="s">
        <v>97</v>
      </c>
      <c r="V29" s="403"/>
      <c r="W29" s="38">
        <v>650</v>
      </c>
      <c r="X29" s="38">
        <v>700</v>
      </c>
      <c r="Y29" s="38">
        <v>800</v>
      </c>
      <c r="Z29" s="436" t="s">
        <v>281</v>
      </c>
      <c r="AA29" s="437"/>
      <c r="AB29" s="429" t="s">
        <v>72</v>
      </c>
      <c r="AC29" s="447"/>
      <c r="AD29" s="95">
        <v>550</v>
      </c>
      <c r="AE29" s="95"/>
      <c r="AF29" s="95">
        <v>680</v>
      </c>
      <c r="AI29" s="445"/>
      <c r="AJ29" s="445"/>
    </row>
    <row r="30" spans="1:36" ht="16.5" customHeight="1">
      <c r="A30" s="202"/>
      <c r="B30" s="419"/>
      <c r="C30" s="420"/>
      <c r="D30" s="420"/>
      <c r="E30" s="420"/>
      <c r="F30" s="16"/>
      <c r="G30" s="16"/>
      <c r="H30" s="17"/>
      <c r="I30" s="17"/>
      <c r="J30" s="16"/>
      <c r="K30" s="11"/>
      <c r="L30" s="399" t="s">
        <v>885</v>
      </c>
      <c r="M30" s="400"/>
      <c r="N30" s="408" t="s">
        <v>65</v>
      </c>
      <c r="O30" s="409"/>
      <c r="P30" s="99"/>
      <c r="Q30" s="99"/>
      <c r="R30" s="4" t="s">
        <v>216</v>
      </c>
      <c r="S30" s="421" t="s">
        <v>231</v>
      </c>
      <c r="T30" s="422"/>
      <c r="U30" s="415" t="s">
        <v>98</v>
      </c>
      <c r="V30" s="416"/>
      <c r="W30" s="38">
        <v>500</v>
      </c>
      <c r="X30" s="38">
        <v>600</v>
      </c>
      <c r="Y30" s="38">
        <v>600</v>
      </c>
      <c r="Z30" s="436" t="s">
        <v>282</v>
      </c>
      <c r="AA30" s="437"/>
      <c r="AB30" s="429" t="s">
        <v>81</v>
      </c>
      <c r="AC30" s="447"/>
      <c r="AD30" s="95">
        <v>300</v>
      </c>
      <c r="AE30" s="95"/>
      <c r="AF30" s="95">
        <v>550</v>
      </c>
      <c r="AI30" s="445"/>
      <c r="AJ30" s="445"/>
    </row>
    <row r="31" spans="1:36" ht="16.5" customHeight="1">
      <c r="A31" s="202"/>
      <c r="B31" s="419"/>
      <c r="C31" s="420"/>
      <c r="D31" s="420"/>
      <c r="E31" s="420"/>
      <c r="F31" s="16"/>
      <c r="G31" s="16"/>
      <c r="H31" s="17"/>
      <c r="I31" s="17"/>
      <c r="J31" s="16"/>
      <c r="K31" s="11"/>
      <c r="L31" s="399" t="s">
        <v>886</v>
      </c>
      <c r="M31" s="400"/>
      <c r="N31" s="408" t="s">
        <v>65</v>
      </c>
      <c r="O31" s="409"/>
      <c r="P31" s="99"/>
      <c r="Q31" s="99"/>
      <c r="R31" s="4" t="s">
        <v>216</v>
      </c>
      <c r="S31" s="401" t="s">
        <v>232</v>
      </c>
      <c r="T31" s="308"/>
      <c r="U31" s="402" t="s">
        <v>98</v>
      </c>
      <c r="V31" s="403"/>
      <c r="W31" s="38">
        <v>500</v>
      </c>
      <c r="X31" s="38">
        <v>600</v>
      </c>
      <c r="Y31" s="38">
        <v>600</v>
      </c>
      <c r="Z31" s="436" t="s">
        <v>283</v>
      </c>
      <c r="AA31" s="437"/>
      <c r="AB31" s="429" t="s">
        <v>82</v>
      </c>
      <c r="AC31" s="447"/>
      <c r="AD31" s="95">
        <v>200</v>
      </c>
      <c r="AE31" s="95"/>
      <c r="AF31" s="95"/>
      <c r="AI31" s="445"/>
      <c r="AJ31" s="445"/>
    </row>
    <row r="32" spans="1:36" ht="16.5" customHeight="1">
      <c r="A32" s="202"/>
      <c r="B32" s="399"/>
      <c r="C32" s="400"/>
      <c r="D32" s="400"/>
      <c r="E32" s="458"/>
      <c r="F32" s="16"/>
      <c r="G32" s="16"/>
      <c r="H32" s="17"/>
      <c r="I32" s="17"/>
      <c r="J32" s="16"/>
      <c r="K32" s="11"/>
      <c r="L32" s="399" t="s">
        <v>887</v>
      </c>
      <c r="M32" s="400"/>
      <c r="N32" s="408" t="s">
        <v>65</v>
      </c>
      <c r="O32" s="409"/>
      <c r="P32" s="99"/>
      <c r="Q32" s="99"/>
      <c r="R32" s="7" t="s">
        <v>218</v>
      </c>
      <c r="S32" s="401" t="s">
        <v>320</v>
      </c>
      <c r="T32" s="308"/>
      <c r="U32" s="402" t="s">
        <v>321</v>
      </c>
      <c r="V32" s="403"/>
      <c r="W32" s="38">
        <v>2100</v>
      </c>
      <c r="X32" s="38">
        <v>2400</v>
      </c>
      <c r="Y32" s="38">
        <v>2600</v>
      </c>
      <c r="Z32" s="436" t="s">
        <v>372</v>
      </c>
      <c r="AA32" s="437"/>
      <c r="AB32" s="429" t="s">
        <v>81</v>
      </c>
      <c r="AC32" s="447"/>
      <c r="AD32" s="96"/>
      <c r="AE32" s="95"/>
      <c r="AF32" s="95"/>
      <c r="AI32" s="445"/>
      <c r="AJ32" s="445"/>
    </row>
    <row r="33" spans="1:36" ht="16.5" customHeight="1">
      <c r="A33" s="202"/>
      <c r="B33" s="419"/>
      <c r="C33" s="420"/>
      <c r="D33" s="420"/>
      <c r="E33" s="420"/>
      <c r="F33" s="16"/>
      <c r="G33" s="16"/>
      <c r="H33" s="17"/>
      <c r="I33" s="17"/>
      <c r="J33" s="16"/>
      <c r="K33" s="11"/>
      <c r="L33" s="399" t="s">
        <v>888</v>
      </c>
      <c r="M33" s="400"/>
      <c r="N33" s="408" t="s">
        <v>65</v>
      </c>
      <c r="O33" s="409"/>
      <c r="P33" s="99"/>
      <c r="Q33" s="99"/>
      <c r="R33" s="4" t="s">
        <v>216</v>
      </c>
      <c r="S33" s="401" t="s">
        <v>234</v>
      </c>
      <c r="T33" s="308"/>
      <c r="U33" s="402" t="s">
        <v>250</v>
      </c>
      <c r="V33" s="403"/>
      <c r="W33" s="38">
        <v>2500</v>
      </c>
      <c r="X33" s="38">
        <v>2700</v>
      </c>
      <c r="Y33" s="38">
        <v>3000</v>
      </c>
      <c r="Z33" s="436" t="s">
        <v>287</v>
      </c>
      <c r="AA33" s="437"/>
      <c r="AB33" s="429" t="s">
        <v>288</v>
      </c>
      <c r="AC33" s="447"/>
      <c r="AD33" s="96">
        <v>700</v>
      </c>
      <c r="AE33" s="95"/>
      <c r="AF33" s="95">
        <v>850</v>
      </c>
      <c r="AI33" s="445"/>
      <c r="AJ33" s="445"/>
    </row>
    <row r="34" spans="1:36" ht="16.5" customHeight="1">
      <c r="A34" s="202"/>
      <c r="B34" s="399"/>
      <c r="C34" s="400"/>
      <c r="D34" s="400"/>
      <c r="E34" s="458"/>
      <c r="F34" s="16"/>
      <c r="G34" s="16"/>
      <c r="H34" s="17"/>
      <c r="I34" s="17"/>
      <c r="J34" s="16"/>
      <c r="K34" s="11"/>
      <c r="L34" s="399" t="s">
        <v>889</v>
      </c>
      <c r="M34" s="400"/>
      <c r="N34" s="408" t="s">
        <v>65</v>
      </c>
      <c r="O34" s="409"/>
      <c r="P34" s="99"/>
      <c r="Q34" s="99"/>
      <c r="R34" s="4" t="s">
        <v>216</v>
      </c>
      <c r="S34" s="421" t="s">
        <v>235</v>
      </c>
      <c r="T34" s="422"/>
      <c r="U34" s="415" t="s">
        <v>250</v>
      </c>
      <c r="V34" s="416"/>
      <c r="W34" s="38">
        <v>2500</v>
      </c>
      <c r="X34" s="38">
        <v>2700</v>
      </c>
      <c r="Y34" s="38">
        <v>3000</v>
      </c>
      <c r="Z34" s="436" t="s">
        <v>345</v>
      </c>
      <c r="AA34" s="437"/>
      <c r="AB34" s="405" t="s">
        <v>74</v>
      </c>
      <c r="AC34" s="446"/>
      <c r="AD34" s="96">
        <v>300</v>
      </c>
      <c r="AE34" s="95"/>
      <c r="AF34" s="95"/>
      <c r="AI34" s="445"/>
      <c r="AJ34" s="445"/>
    </row>
    <row r="35" spans="1:36" ht="16.5" customHeight="1">
      <c r="A35" s="202"/>
      <c r="B35" s="399"/>
      <c r="C35" s="400"/>
      <c r="D35" s="400"/>
      <c r="E35" s="458"/>
      <c r="F35" s="16"/>
      <c r="G35" s="16"/>
      <c r="H35" s="17"/>
      <c r="I35" s="17"/>
      <c r="J35" s="16"/>
      <c r="K35" s="11"/>
      <c r="L35" s="399" t="s">
        <v>890</v>
      </c>
      <c r="M35" s="400"/>
      <c r="N35" s="408" t="s">
        <v>65</v>
      </c>
      <c r="O35" s="409"/>
      <c r="P35" s="99"/>
      <c r="Q35" s="99"/>
      <c r="R35" s="4" t="s">
        <v>216</v>
      </c>
      <c r="S35" s="401" t="s">
        <v>236</v>
      </c>
      <c r="T35" s="308"/>
      <c r="U35" s="402" t="s">
        <v>250</v>
      </c>
      <c r="V35" s="403"/>
      <c r="W35" s="38">
        <v>2500</v>
      </c>
      <c r="X35" s="38">
        <v>2800</v>
      </c>
      <c r="Y35" s="38">
        <v>3000</v>
      </c>
      <c r="Z35" s="436" t="s">
        <v>286</v>
      </c>
      <c r="AA35" s="437"/>
      <c r="AB35" s="405"/>
      <c r="AC35" s="446"/>
      <c r="AD35" s="96">
        <v>500</v>
      </c>
      <c r="AE35" s="95"/>
      <c r="AF35" s="95">
        <v>600</v>
      </c>
      <c r="AI35" s="445"/>
      <c r="AJ35" s="445"/>
    </row>
    <row r="36" spans="1:36" ht="16.5" customHeight="1">
      <c r="A36" s="202"/>
      <c r="B36" s="399"/>
      <c r="C36" s="400"/>
      <c r="D36" s="400"/>
      <c r="E36" s="458"/>
      <c r="F36" s="16"/>
      <c r="G36" s="16"/>
      <c r="H36" s="17"/>
      <c r="I36" s="17"/>
      <c r="J36" s="16"/>
      <c r="K36" s="11"/>
      <c r="L36" s="399" t="s">
        <v>891</v>
      </c>
      <c r="M36" s="400"/>
      <c r="N36" s="408" t="s">
        <v>208</v>
      </c>
      <c r="O36" s="409"/>
      <c r="P36" s="99"/>
      <c r="Q36" s="99"/>
      <c r="R36" s="4" t="s">
        <v>217</v>
      </c>
      <c r="S36" s="421" t="s">
        <v>237</v>
      </c>
      <c r="T36" s="422"/>
      <c r="U36" s="415" t="s">
        <v>250</v>
      </c>
      <c r="V36" s="416"/>
      <c r="W36" s="38">
        <v>2600</v>
      </c>
      <c r="X36" s="38">
        <v>2900</v>
      </c>
      <c r="Y36" s="38">
        <v>3200</v>
      </c>
      <c r="Z36" s="436" t="s">
        <v>316</v>
      </c>
      <c r="AA36" s="437"/>
      <c r="AB36" s="428" t="s">
        <v>317</v>
      </c>
      <c r="AC36" s="429"/>
      <c r="AD36" s="96">
        <v>300</v>
      </c>
      <c r="AE36" s="95"/>
      <c r="AF36" s="95">
        <v>400</v>
      </c>
      <c r="AI36" s="445"/>
      <c r="AJ36" s="445"/>
    </row>
    <row r="37" spans="1:36" ht="16.5" customHeight="1">
      <c r="A37" s="202"/>
      <c r="B37" s="399"/>
      <c r="C37" s="400"/>
      <c r="D37" s="400"/>
      <c r="E37" s="458"/>
      <c r="F37" s="16"/>
      <c r="G37" s="16"/>
      <c r="H37" s="17"/>
      <c r="I37" s="17"/>
      <c r="J37" s="16"/>
      <c r="K37" s="11"/>
      <c r="L37" s="399" t="s">
        <v>892</v>
      </c>
      <c r="M37" s="400"/>
      <c r="N37" s="408" t="s">
        <v>209</v>
      </c>
      <c r="O37" s="409"/>
      <c r="P37" s="99"/>
      <c r="Q37" s="99"/>
      <c r="R37" s="4" t="s">
        <v>217</v>
      </c>
      <c r="S37" s="401" t="s">
        <v>238</v>
      </c>
      <c r="T37" s="308"/>
      <c r="U37" s="402" t="s">
        <v>250</v>
      </c>
      <c r="V37" s="403"/>
      <c r="W37" s="38">
        <v>2700</v>
      </c>
      <c r="X37" s="38">
        <v>3000</v>
      </c>
      <c r="Y37" s="38">
        <v>3300</v>
      </c>
      <c r="Z37" s="436" t="s">
        <v>289</v>
      </c>
      <c r="AA37" s="437"/>
      <c r="AB37" s="429" t="s">
        <v>315</v>
      </c>
      <c r="AC37" s="447"/>
      <c r="AD37" s="96">
        <v>350</v>
      </c>
      <c r="AE37" s="95"/>
      <c r="AF37" s="95">
        <v>450</v>
      </c>
      <c r="AI37" s="445"/>
      <c r="AJ37" s="445"/>
    </row>
    <row r="38" spans="1:36" ht="16.5" customHeight="1">
      <c r="A38" s="202"/>
      <c r="B38" s="399"/>
      <c r="C38" s="400"/>
      <c r="D38" s="400"/>
      <c r="E38" s="458"/>
      <c r="F38" s="16"/>
      <c r="G38" s="16"/>
      <c r="H38" s="17"/>
      <c r="I38" s="17"/>
      <c r="J38" s="16"/>
      <c r="K38" s="11"/>
      <c r="L38" s="399" t="s">
        <v>894</v>
      </c>
      <c r="M38" s="400"/>
      <c r="N38" s="408" t="s">
        <v>209</v>
      </c>
      <c r="O38" s="409"/>
      <c r="P38" s="99"/>
      <c r="Q38" s="99"/>
      <c r="R38" s="4" t="s">
        <v>216</v>
      </c>
      <c r="S38" s="421" t="s">
        <v>239</v>
      </c>
      <c r="T38" s="422"/>
      <c r="U38" s="415" t="s">
        <v>250</v>
      </c>
      <c r="V38" s="416"/>
      <c r="W38" s="38">
        <v>2800</v>
      </c>
      <c r="X38" s="38">
        <v>3100</v>
      </c>
      <c r="Y38" s="38">
        <v>3320</v>
      </c>
      <c r="Z38" s="436" t="s">
        <v>285</v>
      </c>
      <c r="AA38" s="437"/>
      <c r="AB38" s="405"/>
      <c r="AC38" s="446"/>
      <c r="AD38" s="96">
        <v>600</v>
      </c>
      <c r="AE38" s="95"/>
      <c r="AF38" s="95">
        <v>750</v>
      </c>
    </row>
    <row r="39" spans="1:36" ht="16.5" customHeight="1">
      <c r="A39" s="202"/>
      <c r="B39" s="259"/>
      <c r="C39" s="260"/>
      <c r="D39" s="479"/>
      <c r="E39" s="480"/>
      <c r="F39" s="16"/>
      <c r="G39" s="16"/>
      <c r="H39" s="17"/>
      <c r="I39" s="17"/>
      <c r="J39" s="16"/>
      <c r="K39" s="11"/>
      <c r="L39" s="399" t="s">
        <v>893</v>
      </c>
      <c r="M39" s="400"/>
      <c r="N39" s="408" t="s">
        <v>209</v>
      </c>
      <c r="O39" s="409"/>
      <c r="P39" s="99"/>
      <c r="Q39" s="99"/>
      <c r="R39" s="4" t="s">
        <v>217</v>
      </c>
      <c r="S39" s="401" t="s">
        <v>240</v>
      </c>
      <c r="T39" s="308"/>
      <c r="U39" s="402" t="s">
        <v>251</v>
      </c>
      <c r="V39" s="403"/>
      <c r="W39" s="38">
        <v>2800</v>
      </c>
      <c r="X39" s="38">
        <v>3100</v>
      </c>
      <c r="Y39" s="38">
        <v>3400</v>
      </c>
      <c r="Z39" s="441" t="s">
        <v>308</v>
      </c>
      <c r="AA39" s="442"/>
      <c r="AB39" s="443" t="s">
        <v>64</v>
      </c>
      <c r="AC39" s="443"/>
      <c r="AD39" s="96"/>
      <c r="AE39" s="95">
        <v>650</v>
      </c>
      <c r="AF39" s="95"/>
    </row>
    <row r="40" spans="1:36" ht="16.5" customHeight="1">
      <c r="A40" s="202"/>
      <c r="B40" s="259"/>
      <c r="C40" s="260"/>
      <c r="D40" s="479"/>
      <c r="E40" s="480"/>
      <c r="F40" s="16"/>
      <c r="G40" s="16"/>
      <c r="H40" s="17"/>
      <c r="I40" s="17"/>
      <c r="J40" s="16"/>
      <c r="K40" s="11"/>
      <c r="L40" s="399" t="s">
        <v>895</v>
      </c>
      <c r="M40" s="400"/>
      <c r="N40" s="408" t="s">
        <v>210</v>
      </c>
      <c r="O40" s="409"/>
      <c r="P40" s="99"/>
      <c r="Q40" s="99"/>
      <c r="R40" s="4" t="s">
        <v>215</v>
      </c>
      <c r="S40" s="421" t="s">
        <v>241</v>
      </c>
      <c r="T40" s="422"/>
      <c r="U40" s="415" t="s">
        <v>251</v>
      </c>
      <c r="V40" s="416"/>
      <c r="W40" s="38">
        <v>2800</v>
      </c>
      <c r="X40" s="38">
        <v>3100</v>
      </c>
      <c r="Y40" s="38">
        <v>3400</v>
      </c>
      <c r="Z40" s="438" t="s">
        <v>309</v>
      </c>
      <c r="AA40" s="439"/>
      <c r="AB40" s="408" t="s">
        <v>310</v>
      </c>
      <c r="AC40" s="409"/>
      <c r="AD40" s="96"/>
      <c r="AE40" s="95">
        <v>360</v>
      </c>
      <c r="AF40" s="95"/>
    </row>
    <row r="41" spans="1:36" ht="16.5" customHeight="1">
      <c r="A41" s="202"/>
      <c r="B41" s="259"/>
      <c r="C41" s="260"/>
      <c r="D41" s="479"/>
      <c r="E41" s="480"/>
      <c r="F41" s="16"/>
      <c r="G41" s="16"/>
      <c r="H41" s="17"/>
      <c r="I41" s="17"/>
      <c r="J41" s="16"/>
      <c r="K41" s="11"/>
      <c r="L41" s="399" t="s">
        <v>896</v>
      </c>
      <c r="M41" s="400"/>
      <c r="N41" s="408" t="s">
        <v>211</v>
      </c>
      <c r="O41" s="409"/>
      <c r="P41" s="99"/>
      <c r="Q41" s="99"/>
      <c r="R41" s="4" t="s">
        <v>216</v>
      </c>
      <c r="S41" s="401" t="s">
        <v>242</v>
      </c>
      <c r="T41" s="308"/>
      <c r="U41" s="402" t="s">
        <v>252</v>
      </c>
      <c r="V41" s="403"/>
      <c r="W41" s="38">
        <v>2700</v>
      </c>
      <c r="X41" s="38">
        <v>3000</v>
      </c>
      <c r="Y41" s="38">
        <v>3300</v>
      </c>
      <c r="Z41" s="436" t="s">
        <v>365</v>
      </c>
      <c r="AA41" s="437"/>
      <c r="AB41" s="405" t="s">
        <v>74</v>
      </c>
      <c r="AC41" s="446"/>
      <c r="AD41" s="96">
        <v>200</v>
      </c>
      <c r="AE41" s="95">
        <v>250</v>
      </c>
      <c r="AF41" s="95">
        <v>300</v>
      </c>
    </row>
    <row r="42" spans="1:36" ht="16.5" customHeight="1">
      <c r="A42" s="202"/>
      <c r="B42" s="259"/>
      <c r="C42" s="260"/>
      <c r="D42" s="479"/>
      <c r="E42" s="480"/>
      <c r="F42" s="16"/>
      <c r="G42" s="16"/>
      <c r="H42" s="17"/>
      <c r="I42" s="17"/>
      <c r="J42" s="16"/>
      <c r="K42" s="11"/>
      <c r="L42" s="399" t="s">
        <v>853</v>
      </c>
      <c r="M42" s="400"/>
      <c r="N42" s="408" t="s">
        <v>212</v>
      </c>
      <c r="O42" s="409"/>
      <c r="P42" s="100"/>
      <c r="Q42" s="99"/>
      <c r="R42" s="4" t="s">
        <v>217</v>
      </c>
      <c r="S42" s="421" t="s">
        <v>243</v>
      </c>
      <c r="T42" s="422"/>
      <c r="U42" s="415" t="s">
        <v>252</v>
      </c>
      <c r="V42" s="416"/>
      <c r="W42" s="38">
        <v>2700</v>
      </c>
      <c r="X42" s="38">
        <v>3000</v>
      </c>
      <c r="Y42" s="38">
        <v>3300</v>
      </c>
      <c r="Z42" s="438" t="s">
        <v>358</v>
      </c>
      <c r="AA42" s="439"/>
      <c r="AB42" s="408" t="s">
        <v>252</v>
      </c>
      <c r="AC42" s="409"/>
      <c r="AD42" s="95">
        <v>2700</v>
      </c>
      <c r="AE42" s="95">
        <v>3000</v>
      </c>
      <c r="AF42" s="95">
        <v>3300</v>
      </c>
    </row>
    <row r="43" spans="1:36" ht="16.5" customHeight="1">
      <c r="A43" s="202"/>
      <c r="B43" s="259"/>
      <c r="C43" s="260"/>
      <c r="D43" s="479"/>
      <c r="E43" s="480"/>
      <c r="F43" s="16"/>
      <c r="G43" s="16"/>
      <c r="H43" s="17"/>
      <c r="I43" s="17"/>
      <c r="J43" s="16"/>
      <c r="K43" s="11"/>
      <c r="L43" s="399" t="s">
        <v>858</v>
      </c>
      <c r="M43" s="400"/>
      <c r="N43" s="428" t="s">
        <v>174</v>
      </c>
      <c r="O43" s="429"/>
      <c r="P43" s="96"/>
      <c r="Q43" s="95"/>
      <c r="R43" s="4" t="s">
        <v>217</v>
      </c>
      <c r="S43" s="401" t="s">
        <v>1212</v>
      </c>
      <c r="T43" s="308"/>
      <c r="U43" s="402" t="s">
        <v>253</v>
      </c>
      <c r="V43" s="403"/>
      <c r="W43" s="38">
        <v>9500</v>
      </c>
      <c r="X43" s="38">
        <v>11000</v>
      </c>
      <c r="Y43" s="38">
        <v>12000</v>
      </c>
      <c r="Z43" s="404"/>
      <c r="AA43" s="405"/>
      <c r="AB43" s="405"/>
      <c r="AC43" s="446"/>
      <c r="AD43" s="97"/>
      <c r="AE43" s="97"/>
      <c r="AF43" s="97"/>
    </row>
    <row r="44" spans="1:36" ht="16.5" customHeight="1">
      <c r="A44" s="202"/>
      <c r="B44" s="273"/>
      <c r="C44" s="268"/>
      <c r="D44" s="268"/>
      <c r="E44" s="269"/>
      <c r="F44" s="273" t="s">
        <v>426</v>
      </c>
      <c r="G44" s="269"/>
      <c r="H44" s="17"/>
      <c r="I44" s="17">
        <f>SUM(I21:I43)</f>
        <v>0</v>
      </c>
      <c r="J44" s="16"/>
      <c r="K44" s="11"/>
      <c r="L44" s="399" t="s">
        <v>897</v>
      </c>
      <c r="M44" s="400"/>
      <c r="N44" s="428" t="s">
        <v>86</v>
      </c>
      <c r="O44" s="429"/>
      <c r="P44" s="101"/>
      <c r="Q44" s="95"/>
      <c r="R44" s="4" t="s">
        <v>217</v>
      </c>
      <c r="S44" s="401" t="s">
        <v>1213</v>
      </c>
      <c r="T44" s="308"/>
      <c r="U44" s="402" t="s">
        <v>254</v>
      </c>
      <c r="V44" s="403"/>
      <c r="W44" s="38">
        <v>650</v>
      </c>
      <c r="X44" s="38">
        <v>750</v>
      </c>
      <c r="Y44" s="38">
        <v>800</v>
      </c>
      <c r="Z44" s="404"/>
      <c r="AA44" s="405"/>
      <c r="AB44" s="405"/>
      <c r="AC44" s="446"/>
      <c r="AD44" s="96"/>
      <c r="AE44" s="95"/>
      <c r="AF44" s="95"/>
    </row>
    <row r="45" spans="1:36" ht="16.5" customHeight="1">
      <c r="A45" s="262" t="s">
        <v>32</v>
      </c>
      <c r="B45" s="263"/>
      <c r="C45" s="263"/>
      <c r="D45" s="263"/>
      <c r="E45" s="263"/>
      <c r="F45" s="263"/>
      <c r="G45" s="263"/>
      <c r="H45" s="263"/>
      <c r="I45" s="263"/>
      <c r="J45" s="264"/>
      <c r="K45" s="86"/>
      <c r="L45" s="399" t="s">
        <v>898</v>
      </c>
      <c r="M45" s="400"/>
      <c r="N45" s="428" t="s">
        <v>213</v>
      </c>
      <c r="O45" s="429"/>
      <c r="P45" s="101"/>
      <c r="Q45" s="95"/>
      <c r="R45" s="4" t="s">
        <v>217</v>
      </c>
      <c r="S45" s="421" t="s">
        <v>1214</v>
      </c>
      <c r="T45" s="422"/>
      <c r="U45" s="415" t="s">
        <v>255</v>
      </c>
      <c r="V45" s="416"/>
      <c r="W45" s="38">
        <v>100</v>
      </c>
      <c r="X45" s="38">
        <v>135</v>
      </c>
      <c r="Y45" s="38">
        <v>135</v>
      </c>
      <c r="Z45" s="436" t="s">
        <v>337</v>
      </c>
      <c r="AA45" s="437"/>
      <c r="AB45" s="429" t="s">
        <v>339</v>
      </c>
      <c r="AC45" s="447"/>
      <c r="AD45" s="96">
        <v>550</v>
      </c>
      <c r="AE45" s="95"/>
      <c r="AF45" s="95">
        <v>700</v>
      </c>
    </row>
    <row r="46" spans="1:36" ht="16.5" customHeight="1">
      <c r="A46" s="265"/>
      <c r="B46" s="266"/>
      <c r="C46" s="266"/>
      <c r="D46" s="266"/>
      <c r="E46" s="266"/>
      <c r="F46" s="266"/>
      <c r="G46" s="266"/>
      <c r="H46" s="266"/>
      <c r="I46" s="266"/>
      <c r="J46" s="267"/>
      <c r="K46" s="86"/>
      <c r="L46" s="399" t="s">
        <v>899</v>
      </c>
      <c r="M46" s="400"/>
      <c r="N46" s="428" t="s">
        <v>87</v>
      </c>
      <c r="O46" s="429"/>
      <c r="P46" s="101"/>
      <c r="Q46" s="95"/>
      <c r="R46" s="4"/>
      <c r="S46" s="401" t="s">
        <v>247</v>
      </c>
      <c r="T46" s="308"/>
      <c r="U46" s="402" t="s">
        <v>256</v>
      </c>
      <c r="V46" s="403"/>
      <c r="W46" s="38">
        <v>700</v>
      </c>
      <c r="X46" s="38">
        <v>800</v>
      </c>
      <c r="Y46" s="38">
        <v>850</v>
      </c>
      <c r="Z46" s="436" t="s">
        <v>338</v>
      </c>
      <c r="AA46" s="437"/>
      <c r="AB46" s="429" t="s">
        <v>340</v>
      </c>
      <c r="AC46" s="447"/>
      <c r="AD46" s="96">
        <v>450</v>
      </c>
      <c r="AE46" s="95"/>
      <c r="AF46" s="95">
        <v>550</v>
      </c>
    </row>
    <row r="47" spans="1:36" ht="16.5" customHeight="1">
      <c r="A47" s="287"/>
      <c r="B47" s="257"/>
      <c r="C47" s="257"/>
      <c r="D47" s="257"/>
      <c r="E47" s="257"/>
      <c r="F47" s="257"/>
      <c r="G47" s="257"/>
      <c r="H47" s="257"/>
      <c r="I47" s="257"/>
      <c r="J47" s="258"/>
      <c r="K47" s="59"/>
      <c r="L47" s="399" t="s">
        <v>900</v>
      </c>
      <c r="M47" s="400"/>
      <c r="N47" s="428" t="s">
        <v>88</v>
      </c>
      <c r="O47" s="429"/>
      <c r="P47" s="101"/>
      <c r="Q47" s="95"/>
      <c r="R47" s="4"/>
      <c r="S47" s="401" t="s">
        <v>263</v>
      </c>
      <c r="T47" s="308"/>
      <c r="U47" s="402" t="s">
        <v>250</v>
      </c>
      <c r="V47" s="403"/>
      <c r="W47" s="6">
        <v>2100</v>
      </c>
      <c r="X47" s="6">
        <v>2400</v>
      </c>
      <c r="Y47" s="6">
        <v>2600</v>
      </c>
      <c r="Z47" s="441" t="s">
        <v>311</v>
      </c>
      <c r="AA47" s="442"/>
      <c r="AB47" s="443" t="s">
        <v>368</v>
      </c>
      <c r="AC47" s="443"/>
      <c r="AD47" s="97"/>
      <c r="AE47" s="97"/>
      <c r="AF47" s="97"/>
    </row>
    <row r="48" spans="1:36" ht="16.5" customHeight="1">
      <c r="A48" s="288" t="s">
        <v>33</v>
      </c>
      <c r="B48" s="288"/>
      <c r="C48" s="288"/>
      <c r="D48" s="288"/>
      <c r="E48" s="288"/>
      <c r="F48" s="288"/>
      <c r="G48" s="288"/>
      <c r="H48" s="288"/>
      <c r="I48" s="288"/>
      <c r="J48" s="288"/>
      <c r="K48" s="69"/>
      <c r="L48" s="399" t="s">
        <v>901</v>
      </c>
      <c r="M48" s="400"/>
      <c r="N48" s="226" t="s">
        <v>89</v>
      </c>
      <c r="O48" s="226"/>
      <c r="P48" s="101"/>
      <c r="Q48" s="95"/>
      <c r="R48" s="91"/>
      <c r="S48" s="92"/>
      <c r="T48" s="92"/>
      <c r="U48" s="53"/>
      <c r="V48" s="53"/>
      <c r="Z48" s="300" t="s">
        <v>38</v>
      </c>
      <c r="AA48" s="300"/>
      <c r="AB48" s="300"/>
      <c r="AC48" s="300"/>
      <c r="AD48" s="300"/>
      <c r="AE48" s="440"/>
      <c r="AF48" s="440"/>
    </row>
    <row r="49" spans="1:32" ht="16.5" customHeight="1">
      <c r="A49" s="288" t="s">
        <v>34</v>
      </c>
      <c r="B49" s="288"/>
      <c r="C49" s="288"/>
      <c r="D49" s="288"/>
      <c r="E49" s="288"/>
      <c r="F49" s="288"/>
      <c r="G49" s="288"/>
      <c r="H49" s="288"/>
      <c r="I49" s="288"/>
      <c r="J49" s="288"/>
      <c r="K49" s="69"/>
      <c r="L49" s="398" t="s">
        <v>902</v>
      </c>
      <c r="M49" s="325"/>
      <c r="N49" s="216" t="s">
        <v>214</v>
      </c>
      <c r="O49" s="216"/>
      <c r="P49" s="17"/>
      <c r="Q49" s="41"/>
      <c r="R49" s="91"/>
      <c r="S49" s="91"/>
      <c r="T49" s="91"/>
      <c r="V49" s="53"/>
    </row>
    <row r="50" spans="1:32" ht="16.5" customHeight="1">
      <c r="A50" s="289" t="s">
        <v>427</v>
      </c>
      <c r="B50" s="289"/>
      <c r="C50" s="289"/>
      <c r="D50" s="289"/>
      <c r="E50" s="289"/>
      <c r="F50" s="289"/>
      <c r="G50" s="289"/>
      <c r="H50" s="289"/>
      <c r="I50" s="289"/>
      <c r="J50" s="289"/>
      <c r="L50" s="398" t="s">
        <v>311</v>
      </c>
      <c r="M50" s="325"/>
      <c r="N50" s="213" t="s">
        <v>312</v>
      </c>
      <c r="O50" s="213"/>
      <c r="P50" s="98"/>
      <c r="Q50" s="41"/>
      <c r="R50" s="40" t="s">
        <v>347</v>
      </c>
      <c r="S50" s="426" t="s">
        <v>379</v>
      </c>
      <c r="T50" s="427"/>
      <c r="U50" s="434" t="s">
        <v>380</v>
      </c>
      <c r="V50" s="435"/>
    </row>
    <row r="51" spans="1:32" ht="16.5" customHeight="1">
      <c r="A51" s="87"/>
      <c r="B51" s="87"/>
      <c r="C51" s="87"/>
      <c r="D51" s="87"/>
      <c r="E51" s="87"/>
      <c r="F51" s="87"/>
      <c r="G51" s="87"/>
      <c r="H51" s="87"/>
      <c r="I51" s="87"/>
      <c r="J51" s="87"/>
      <c r="L51" s="398" t="s">
        <v>342</v>
      </c>
      <c r="M51" s="325"/>
      <c r="N51" s="214" t="s">
        <v>341</v>
      </c>
      <c r="O51" s="214"/>
      <c r="P51" s="17"/>
      <c r="Q51" s="41"/>
      <c r="R51" s="40" t="s">
        <v>347</v>
      </c>
      <c r="S51" s="426" t="s">
        <v>381</v>
      </c>
      <c r="T51" s="427"/>
      <c r="U51" s="434" t="s">
        <v>382</v>
      </c>
      <c r="V51" s="435"/>
    </row>
    <row r="52" spans="1:32" ht="16.5" customHeight="1">
      <c r="A52" s="327" t="s">
        <v>430</v>
      </c>
      <c r="B52" s="328"/>
      <c r="C52" s="328"/>
      <c r="D52" s="328"/>
      <c r="E52" s="328"/>
      <c r="F52" s="328"/>
      <c r="G52" s="328"/>
      <c r="H52" s="328"/>
      <c r="I52" s="328"/>
      <c r="J52" s="328"/>
      <c r="L52" s="91" t="s">
        <v>33</v>
      </c>
      <c r="M52" s="91"/>
      <c r="N52" s="91"/>
      <c r="O52" s="91"/>
      <c r="P52" s="91"/>
      <c r="Q52" s="91"/>
      <c r="R52" s="40" t="s">
        <v>350</v>
      </c>
      <c r="S52" s="426" t="s">
        <v>383</v>
      </c>
      <c r="T52" s="427"/>
      <c r="U52" s="434" t="s">
        <v>384</v>
      </c>
      <c r="V52" s="435"/>
    </row>
    <row r="53" spans="1:32" ht="16.5" customHeight="1">
      <c r="A53" s="87"/>
      <c r="B53" s="87"/>
      <c r="C53" s="87"/>
      <c r="D53" s="87"/>
      <c r="E53" s="87"/>
      <c r="F53" s="87"/>
      <c r="G53" s="87"/>
      <c r="H53" s="87"/>
      <c r="I53" s="87"/>
      <c r="J53" s="87"/>
      <c r="L53" s="91" t="s">
        <v>34</v>
      </c>
      <c r="M53" s="91"/>
      <c r="N53" s="91"/>
      <c r="O53" s="91"/>
      <c r="P53" s="91"/>
      <c r="Q53" s="91"/>
      <c r="R53" s="40" t="s">
        <v>350</v>
      </c>
      <c r="S53" s="426" t="s">
        <v>385</v>
      </c>
      <c r="T53" s="427"/>
      <c r="U53" s="434" t="s">
        <v>386</v>
      </c>
      <c r="V53" s="435"/>
    </row>
    <row r="54" spans="1:32" ht="16.5" customHeight="1">
      <c r="A54" s="88"/>
      <c r="B54" s="331" t="s">
        <v>428</v>
      </c>
      <c r="C54" s="332"/>
      <c r="D54" s="332"/>
      <c r="E54" s="332"/>
      <c r="F54" s="18" t="s">
        <v>429</v>
      </c>
      <c r="G54" s="18" t="s">
        <v>19</v>
      </c>
      <c r="H54" s="18" t="s">
        <v>15</v>
      </c>
      <c r="I54" s="18" t="s">
        <v>16</v>
      </c>
      <c r="J54" s="18" t="s">
        <v>17</v>
      </c>
      <c r="L54" s="229" t="s">
        <v>351</v>
      </c>
      <c r="M54" s="229"/>
      <c r="N54" s="230" t="s">
        <v>348</v>
      </c>
      <c r="O54" s="230"/>
      <c r="P54" s="38">
        <v>1000</v>
      </c>
      <c r="Q54" s="38">
        <v>1200</v>
      </c>
      <c r="S54" s="426" t="s">
        <v>387</v>
      </c>
      <c r="T54" s="427"/>
      <c r="U54" s="434" t="s">
        <v>388</v>
      </c>
      <c r="V54" s="435"/>
    </row>
    <row r="55" spans="1:32" ht="16.5" customHeight="1">
      <c r="A55" s="88"/>
      <c r="B55" s="410"/>
      <c r="C55" s="411"/>
      <c r="D55" s="411"/>
      <c r="E55" s="411"/>
      <c r="F55" s="89"/>
      <c r="G55" s="89"/>
      <c r="H55" s="89"/>
      <c r="I55" s="89"/>
      <c r="J55" s="88"/>
      <c r="L55" s="229" t="s">
        <v>352</v>
      </c>
      <c r="M55" s="229"/>
      <c r="N55" s="230" t="s">
        <v>349</v>
      </c>
      <c r="O55" s="230"/>
      <c r="P55" s="38">
        <v>1100</v>
      </c>
      <c r="Q55" s="38">
        <v>1350</v>
      </c>
    </row>
    <row r="56" spans="1:32" ht="16.5" customHeight="1">
      <c r="A56" s="5"/>
      <c r="B56" s="404"/>
      <c r="C56" s="405"/>
      <c r="D56" s="406"/>
      <c r="E56" s="407"/>
      <c r="F56" s="16"/>
      <c r="G56" s="68"/>
      <c r="H56" s="90"/>
      <c r="I56" s="17"/>
      <c r="J56" s="88"/>
      <c r="L56" s="229" t="s">
        <v>424</v>
      </c>
      <c r="M56" s="229"/>
      <c r="N56" s="230" t="s">
        <v>348</v>
      </c>
      <c r="O56" s="230"/>
      <c r="P56" s="38">
        <v>1000</v>
      </c>
      <c r="Q56" s="38">
        <v>1200</v>
      </c>
    </row>
    <row r="57" spans="1:32" ht="16.5" customHeight="1">
      <c r="A57" s="5"/>
      <c r="B57" s="399"/>
      <c r="C57" s="400"/>
      <c r="D57" s="408"/>
      <c r="E57" s="409"/>
      <c r="F57" s="16"/>
      <c r="G57" s="68"/>
      <c r="H57" s="90"/>
      <c r="I57" s="17"/>
      <c r="J57" s="88"/>
      <c r="L57" s="229" t="s">
        <v>353</v>
      </c>
      <c r="M57" s="229"/>
      <c r="N57" s="230" t="s">
        <v>349</v>
      </c>
      <c r="O57" s="230"/>
      <c r="P57" s="38">
        <v>1100</v>
      </c>
      <c r="Q57" s="38">
        <v>1350</v>
      </c>
      <c r="V57" s="53"/>
      <c r="W57" s="15" t="s">
        <v>50</v>
      </c>
      <c r="X57" s="15" t="s">
        <v>49</v>
      </c>
      <c r="Y57" s="15" t="s">
        <v>48</v>
      </c>
      <c r="Z57" s="297" t="s">
        <v>364</v>
      </c>
      <c r="AA57" s="297"/>
      <c r="AB57" s="297"/>
      <c r="AC57" s="297"/>
      <c r="AD57" s="15" t="s">
        <v>50</v>
      </c>
      <c r="AE57" s="15" t="s">
        <v>49</v>
      </c>
      <c r="AF57" s="15" t="s">
        <v>48</v>
      </c>
    </row>
    <row r="58" spans="1:32" ht="16.5" customHeight="1">
      <c r="A58" s="5"/>
      <c r="B58" s="259"/>
      <c r="C58" s="260"/>
      <c r="D58" s="257"/>
      <c r="E58" s="258"/>
      <c r="F58" s="16"/>
      <c r="G58" s="68"/>
      <c r="H58" s="17"/>
      <c r="I58" s="17"/>
      <c r="J58" s="88"/>
      <c r="R58" s="4" t="s">
        <v>39</v>
      </c>
      <c r="S58" s="401" t="s">
        <v>219</v>
      </c>
      <c r="T58" s="308"/>
      <c r="U58" s="402" t="s">
        <v>93</v>
      </c>
      <c r="V58" s="403"/>
      <c r="W58" s="38">
        <v>200</v>
      </c>
      <c r="X58" s="38">
        <v>300</v>
      </c>
      <c r="Y58" s="38">
        <v>300</v>
      </c>
      <c r="Z58" s="432" t="s">
        <v>267</v>
      </c>
      <c r="AA58" s="433"/>
      <c r="AB58" s="275" t="s">
        <v>68</v>
      </c>
      <c r="AC58" s="444"/>
      <c r="AD58" s="72">
        <v>330</v>
      </c>
      <c r="AE58" s="72"/>
      <c r="AF58" s="72">
        <v>400</v>
      </c>
    </row>
    <row r="59" spans="1:32" ht="16.5" customHeight="1">
      <c r="A59" s="5"/>
      <c r="B59" s="404"/>
      <c r="C59" s="405"/>
      <c r="D59" s="406"/>
      <c r="E59" s="407"/>
      <c r="F59" s="16"/>
      <c r="G59" s="68"/>
      <c r="H59" s="90"/>
      <c r="I59" s="17"/>
      <c r="J59" s="88"/>
      <c r="R59" s="4" t="s">
        <v>84</v>
      </c>
      <c r="S59" s="401" t="s">
        <v>220</v>
      </c>
      <c r="T59" s="308"/>
      <c r="U59" s="402" t="s">
        <v>92</v>
      </c>
      <c r="V59" s="403"/>
      <c r="W59" s="38">
        <v>300</v>
      </c>
      <c r="X59" s="38">
        <v>350</v>
      </c>
      <c r="Y59" s="38">
        <v>400</v>
      </c>
      <c r="Z59" s="432" t="s">
        <v>268</v>
      </c>
      <c r="AA59" s="433"/>
      <c r="AB59" s="275" t="s">
        <v>69</v>
      </c>
      <c r="AC59" s="444"/>
      <c r="AD59" s="72">
        <v>300</v>
      </c>
      <c r="AE59" s="72"/>
      <c r="AF59" s="72">
        <v>380</v>
      </c>
    </row>
    <row r="60" spans="1:32" ht="16.5" customHeight="1">
      <c r="A60" s="5"/>
      <c r="B60" s="399"/>
      <c r="C60" s="400"/>
      <c r="D60" s="408"/>
      <c r="E60" s="409"/>
      <c r="F60" s="16"/>
      <c r="G60" s="68"/>
      <c r="H60" s="90"/>
      <c r="I60" s="17"/>
      <c r="J60" s="88"/>
      <c r="R60" s="4" t="s">
        <v>39</v>
      </c>
      <c r="S60" s="401" t="s">
        <v>221</v>
      </c>
      <c r="T60" s="308"/>
      <c r="U60" s="402" t="s">
        <v>91</v>
      </c>
      <c r="V60" s="403"/>
      <c r="W60" s="38">
        <v>300</v>
      </c>
      <c r="X60" s="38">
        <v>350</v>
      </c>
      <c r="Y60" s="38">
        <v>400</v>
      </c>
      <c r="Z60" s="432" t="s">
        <v>269</v>
      </c>
      <c r="AA60" s="433"/>
      <c r="AB60" s="275" t="s">
        <v>70</v>
      </c>
      <c r="AC60" s="444"/>
      <c r="AD60" s="72">
        <v>1900</v>
      </c>
      <c r="AE60" s="72"/>
      <c r="AF60" s="72">
        <v>2300</v>
      </c>
    </row>
    <row r="61" spans="1:32" ht="16.5" customHeight="1">
      <c r="A61" s="5"/>
      <c r="B61" s="401"/>
      <c r="C61" s="308"/>
      <c r="D61" s="402"/>
      <c r="E61" s="403"/>
      <c r="F61" s="16"/>
      <c r="G61" s="68"/>
      <c r="H61" s="90"/>
      <c r="I61" s="17"/>
      <c r="J61" s="88"/>
      <c r="L61" s="240" t="s">
        <v>369</v>
      </c>
      <c r="M61" s="240"/>
      <c r="N61" s="240"/>
      <c r="O61" s="15"/>
      <c r="P61" s="15" t="s">
        <v>50</v>
      </c>
      <c r="Q61" s="15" t="s">
        <v>48</v>
      </c>
      <c r="R61" s="4" t="s">
        <v>39</v>
      </c>
      <c r="S61" s="401" t="s">
        <v>222</v>
      </c>
      <c r="T61" s="308"/>
      <c r="U61" s="402" t="s">
        <v>90</v>
      </c>
      <c r="V61" s="403"/>
      <c r="W61" s="38">
        <v>300</v>
      </c>
      <c r="X61" s="38">
        <v>350</v>
      </c>
      <c r="Y61" s="38">
        <v>400</v>
      </c>
      <c r="Z61" s="432" t="s">
        <v>270</v>
      </c>
      <c r="AA61" s="433"/>
      <c r="AB61" s="275" t="s">
        <v>71</v>
      </c>
      <c r="AC61" s="444"/>
      <c r="AD61" s="72">
        <v>300</v>
      </c>
      <c r="AE61" s="72"/>
      <c r="AF61" s="72">
        <v>400</v>
      </c>
    </row>
    <row r="62" spans="1:32" ht="16.5" customHeight="1">
      <c r="A62" s="5"/>
      <c r="B62" s="259"/>
      <c r="C62" s="260"/>
      <c r="D62" s="257"/>
      <c r="E62" s="258"/>
      <c r="F62" s="16"/>
      <c r="G62" s="68"/>
      <c r="H62" s="90"/>
      <c r="I62" s="17"/>
      <c r="J62" s="88"/>
      <c r="L62" s="245" t="s">
        <v>306</v>
      </c>
      <c r="M62" s="150"/>
      <c r="N62" s="246"/>
      <c r="O62" s="238"/>
      <c r="P62" s="38">
        <v>6500</v>
      </c>
      <c r="Q62" s="38">
        <v>7800</v>
      </c>
      <c r="R62" s="4" t="s">
        <v>39</v>
      </c>
      <c r="S62" s="401" t="s">
        <v>223</v>
      </c>
      <c r="T62" s="308"/>
      <c r="U62" s="402" t="s">
        <v>94</v>
      </c>
      <c r="V62" s="403"/>
      <c r="W62" s="38">
        <v>1500</v>
      </c>
      <c r="X62" s="38">
        <v>1800</v>
      </c>
      <c r="Y62" s="38">
        <v>2000</v>
      </c>
      <c r="Z62" s="432" t="s">
        <v>271</v>
      </c>
      <c r="AA62" s="433"/>
      <c r="AB62" s="275" t="s">
        <v>72</v>
      </c>
      <c r="AC62" s="444"/>
      <c r="AD62" s="72">
        <v>800</v>
      </c>
      <c r="AE62" s="72"/>
      <c r="AF62" s="72">
        <v>1000</v>
      </c>
    </row>
    <row r="63" spans="1:32" ht="16.5" customHeight="1">
      <c r="A63" s="5"/>
      <c r="B63" s="404"/>
      <c r="C63" s="405"/>
      <c r="D63" s="406"/>
      <c r="E63" s="407"/>
      <c r="F63" s="16"/>
      <c r="G63" s="68"/>
      <c r="H63" s="90"/>
      <c r="I63" s="17"/>
      <c r="J63" s="88"/>
      <c r="L63" s="221" t="s">
        <v>295</v>
      </c>
      <c r="M63" s="237"/>
      <c r="N63" s="213" t="s">
        <v>105</v>
      </c>
      <c r="O63" s="213"/>
      <c r="P63" s="38">
        <v>1000</v>
      </c>
      <c r="Q63" s="38">
        <v>1200</v>
      </c>
      <c r="R63" s="4" t="s">
        <v>39</v>
      </c>
      <c r="S63" s="401" t="s">
        <v>224</v>
      </c>
      <c r="T63" s="308"/>
      <c r="U63" s="402" t="s">
        <v>176</v>
      </c>
      <c r="V63" s="403"/>
      <c r="W63" s="38">
        <v>1700</v>
      </c>
      <c r="X63" s="38">
        <v>1900</v>
      </c>
      <c r="Y63" s="38">
        <v>2100</v>
      </c>
      <c r="Z63" s="432" t="s">
        <v>272</v>
      </c>
      <c r="AA63" s="433"/>
      <c r="AB63" s="450" t="s">
        <v>73</v>
      </c>
      <c r="AC63" s="451"/>
      <c r="AD63" s="72">
        <v>1350</v>
      </c>
      <c r="AE63" s="72"/>
      <c r="AF63" s="72">
        <v>1700</v>
      </c>
    </row>
    <row r="64" spans="1:32" ht="16.5" customHeight="1">
      <c r="A64" s="5"/>
      <c r="B64" s="399"/>
      <c r="C64" s="400"/>
      <c r="D64" s="408"/>
      <c r="E64" s="409"/>
      <c r="F64" s="16"/>
      <c r="G64" s="68"/>
      <c r="H64" s="90"/>
      <c r="I64" s="17"/>
      <c r="J64" s="88"/>
      <c r="L64" s="221" t="s">
        <v>296</v>
      </c>
      <c r="M64" s="237"/>
      <c r="N64" s="218" t="s">
        <v>101</v>
      </c>
      <c r="O64" s="218"/>
      <c r="P64" s="38">
        <v>8700</v>
      </c>
      <c r="Q64" s="38">
        <v>10500</v>
      </c>
      <c r="R64" s="4" t="s">
        <v>39</v>
      </c>
      <c r="S64" s="401" t="s">
        <v>225</v>
      </c>
      <c r="T64" s="308"/>
      <c r="U64" s="402" t="s">
        <v>95</v>
      </c>
      <c r="V64" s="403"/>
      <c r="W64" s="38">
        <v>2000</v>
      </c>
      <c r="X64" s="38">
        <v>2200</v>
      </c>
      <c r="Y64" s="38">
        <v>2500</v>
      </c>
      <c r="Z64" s="432" t="s">
        <v>273</v>
      </c>
      <c r="AA64" s="433"/>
      <c r="AB64" s="275" t="s">
        <v>74</v>
      </c>
      <c r="AC64" s="444"/>
      <c r="AD64" s="72">
        <v>100</v>
      </c>
      <c r="AE64" s="72"/>
      <c r="AF64" s="72">
        <v>120</v>
      </c>
    </row>
    <row r="65" spans="1:32" ht="16.5" customHeight="1">
      <c r="A65" s="5"/>
      <c r="B65" s="401"/>
      <c r="C65" s="308"/>
      <c r="D65" s="402"/>
      <c r="E65" s="403"/>
      <c r="F65" s="16"/>
      <c r="G65" s="68"/>
      <c r="H65" s="90"/>
      <c r="I65" s="17"/>
      <c r="J65" s="88"/>
      <c r="L65" s="219" t="s">
        <v>182</v>
      </c>
      <c r="M65" s="239"/>
      <c r="N65" s="218" t="s">
        <v>100</v>
      </c>
      <c r="O65" s="218"/>
      <c r="P65" s="38">
        <v>11000</v>
      </c>
      <c r="Q65" s="38">
        <v>13500</v>
      </c>
      <c r="R65" s="4" t="s">
        <v>39</v>
      </c>
      <c r="S65" s="401" t="s">
        <v>226</v>
      </c>
      <c r="T65" s="308"/>
      <c r="U65" s="402" t="s">
        <v>96</v>
      </c>
      <c r="V65" s="403"/>
      <c r="W65" s="38">
        <v>45500</v>
      </c>
      <c r="X65" s="38">
        <v>50000</v>
      </c>
      <c r="Y65" s="38">
        <v>55200</v>
      </c>
      <c r="Z65" s="432" t="s">
        <v>274</v>
      </c>
      <c r="AA65" s="433"/>
      <c r="AB65" s="450" t="s">
        <v>75</v>
      </c>
      <c r="AC65" s="451"/>
      <c r="AD65" s="72">
        <v>260</v>
      </c>
      <c r="AE65" s="72"/>
      <c r="AF65" s="72">
        <v>320</v>
      </c>
    </row>
    <row r="66" spans="1:32" ht="16.5" customHeight="1">
      <c r="A66" s="5"/>
      <c r="B66" s="259"/>
      <c r="C66" s="260"/>
      <c r="D66" s="257"/>
      <c r="E66" s="258"/>
      <c r="F66" s="16"/>
      <c r="G66" s="68"/>
      <c r="H66" s="90"/>
      <c r="I66" s="17"/>
      <c r="J66" s="88"/>
      <c r="L66" s="220" t="s">
        <v>183</v>
      </c>
      <c r="M66" s="236"/>
      <c r="N66" s="213" t="s">
        <v>205</v>
      </c>
      <c r="O66" s="213"/>
      <c r="P66" s="38">
        <v>8000</v>
      </c>
      <c r="Q66" s="38">
        <v>9500</v>
      </c>
      <c r="R66" s="4" t="s">
        <v>39</v>
      </c>
      <c r="S66" s="421" t="s">
        <v>233</v>
      </c>
      <c r="T66" s="422"/>
      <c r="U66" s="415" t="s">
        <v>249</v>
      </c>
      <c r="V66" s="416"/>
      <c r="W66" s="38">
        <v>180</v>
      </c>
      <c r="X66" s="38">
        <v>220</v>
      </c>
      <c r="Y66" s="38">
        <v>250</v>
      </c>
      <c r="Z66" s="432" t="s">
        <v>275</v>
      </c>
      <c r="AA66" s="433"/>
      <c r="AB66" s="450" t="s">
        <v>76</v>
      </c>
      <c r="AC66" s="451"/>
      <c r="AD66" s="72">
        <v>210</v>
      </c>
      <c r="AE66" s="72"/>
      <c r="AF66" s="72">
        <v>250</v>
      </c>
    </row>
    <row r="67" spans="1:32" ht="16.5" customHeight="1">
      <c r="A67" s="5"/>
      <c r="B67" s="404"/>
      <c r="C67" s="405"/>
      <c r="D67" s="406"/>
      <c r="E67" s="407"/>
      <c r="F67" s="16"/>
      <c r="G67" s="68"/>
      <c r="H67" s="90"/>
      <c r="I67" s="17"/>
      <c r="J67" s="88"/>
      <c r="L67" s="219" t="s">
        <v>184</v>
      </c>
      <c r="M67" s="239"/>
      <c r="N67" s="218" t="s">
        <v>66</v>
      </c>
      <c r="O67" s="218"/>
      <c r="P67" s="38">
        <v>12000</v>
      </c>
      <c r="Q67" s="38">
        <v>14500</v>
      </c>
      <c r="R67" s="4" t="s">
        <v>85</v>
      </c>
      <c r="S67" s="401" t="s">
        <v>374</v>
      </c>
      <c r="T67" s="308"/>
      <c r="U67" s="402" t="s">
        <v>248</v>
      </c>
      <c r="V67" s="403"/>
      <c r="W67" s="38">
        <v>1000</v>
      </c>
      <c r="X67" s="38">
        <v>1300</v>
      </c>
      <c r="Y67" s="38">
        <v>1500</v>
      </c>
      <c r="Z67" s="432" t="s">
        <v>284</v>
      </c>
      <c r="AA67" s="433"/>
      <c r="AB67" s="275" t="s">
        <v>288</v>
      </c>
      <c r="AC67" s="444"/>
      <c r="AD67" s="72">
        <v>700</v>
      </c>
      <c r="AE67" s="72"/>
      <c r="AF67" s="72">
        <v>850</v>
      </c>
    </row>
    <row r="68" spans="1:32" ht="16.5" customHeight="1">
      <c r="A68" s="5"/>
      <c r="B68" s="399"/>
      <c r="C68" s="400"/>
      <c r="D68" s="408"/>
      <c r="E68" s="409"/>
      <c r="F68" s="16"/>
      <c r="G68" s="68"/>
      <c r="H68" s="90"/>
      <c r="I68" s="17"/>
      <c r="J68" s="88"/>
      <c r="L68" s="219" t="s">
        <v>185</v>
      </c>
      <c r="M68" s="239"/>
      <c r="N68" s="218" t="s">
        <v>206</v>
      </c>
      <c r="O68" s="218"/>
      <c r="P68" s="38">
        <v>8000</v>
      </c>
      <c r="Q68" s="38">
        <v>9500</v>
      </c>
      <c r="R68" s="4" t="s">
        <v>85</v>
      </c>
      <c r="S68" s="401" t="s">
        <v>375</v>
      </c>
      <c r="T68" s="308"/>
      <c r="U68" s="415" t="s">
        <v>248</v>
      </c>
      <c r="V68" s="416"/>
      <c r="W68" s="38">
        <v>1500</v>
      </c>
      <c r="X68" s="38">
        <v>1700</v>
      </c>
      <c r="Y68" s="38">
        <v>1800</v>
      </c>
      <c r="Z68" s="432" t="s">
        <v>276</v>
      </c>
      <c r="AA68" s="433"/>
      <c r="AB68" s="275" t="s">
        <v>68</v>
      </c>
      <c r="AC68" s="444"/>
      <c r="AD68" s="72">
        <v>200</v>
      </c>
      <c r="AE68" s="72"/>
      <c r="AF68" s="72">
        <v>250</v>
      </c>
    </row>
    <row r="69" spans="1:32" ht="16.5" customHeight="1">
      <c r="A69" s="5"/>
      <c r="B69" s="401"/>
      <c r="C69" s="308"/>
      <c r="D69" s="402"/>
      <c r="E69" s="403"/>
      <c r="F69" s="16"/>
      <c r="G69" s="68"/>
      <c r="H69" s="90"/>
      <c r="I69" s="17"/>
      <c r="J69" s="88"/>
      <c r="L69" s="219" t="s">
        <v>186</v>
      </c>
      <c r="M69" s="239"/>
      <c r="N69" s="218" t="s">
        <v>261</v>
      </c>
      <c r="O69" s="218"/>
      <c r="P69" s="38">
        <v>11500</v>
      </c>
      <c r="Q69" s="38">
        <v>14000</v>
      </c>
      <c r="R69" s="4" t="s">
        <v>85</v>
      </c>
      <c r="S69" s="401" t="s">
        <v>376</v>
      </c>
      <c r="T69" s="308"/>
      <c r="U69" s="402" t="s">
        <v>248</v>
      </c>
      <c r="V69" s="403"/>
      <c r="W69" s="38">
        <v>1800</v>
      </c>
      <c r="X69" s="38">
        <v>2200</v>
      </c>
      <c r="Y69" s="38">
        <v>2500</v>
      </c>
      <c r="Z69" s="432" t="s">
        <v>270</v>
      </c>
      <c r="AA69" s="433"/>
      <c r="AB69" s="275" t="s">
        <v>69</v>
      </c>
      <c r="AC69" s="444"/>
      <c r="AD69" s="72">
        <v>260</v>
      </c>
      <c r="AE69" s="72"/>
      <c r="AF69" s="72">
        <v>330</v>
      </c>
    </row>
    <row r="70" spans="1:32" ht="16.5" customHeight="1">
      <c r="A70" s="5"/>
      <c r="B70" s="259"/>
      <c r="C70" s="260"/>
      <c r="D70" s="257"/>
      <c r="E70" s="258"/>
      <c r="F70" s="16"/>
      <c r="G70" s="68"/>
      <c r="H70" s="17"/>
      <c r="I70" s="17"/>
      <c r="J70" s="88"/>
      <c r="L70" s="219" t="s">
        <v>187</v>
      </c>
      <c r="M70" s="239"/>
      <c r="N70" s="218" t="s">
        <v>207</v>
      </c>
      <c r="O70" s="218"/>
      <c r="P70" s="38">
        <v>14600</v>
      </c>
      <c r="Q70" s="38">
        <v>17500</v>
      </c>
      <c r="R70" s="4" t="s">
        <v>85</v>
      </c>
      <c r="S70" s="401" t="s">
        <v>377</v>
      </c>
      <c r="T70" s="308"/>
      <c r="U70" s="415" t="s">
        <v>248</v>
      </c>
      <c r="V70" s="416"/>
      <c r="W70" s="38">
        <v>2500</v>
      </c>
      <c r="X70" s="38">
        <v>3000</v>
      </c>
      <c r="Y70" s="38">
        <v>3500</v>
      </c>
      <c r="Z70" s="432" t="s">
        <v>277</v>
      </c>
      <c r="AA70" s="433"/>
      <c r="AB70" s="275" t="s">
        <v>70</v>
      </c>
      <c r="AC70" s="444"/>
      <c r="AD70" s="72">
        <v>1200</v>
      </c>
      <c r="AE70" s="72"/>
      <c r="AF70" s="72">
        <v>1500</v>
      </c>
    </row>
    <row r="71" spans="1:32" ht="16.5" customHeight="1">
      <c r="A71" s="5"/>
      <c r="B71" s="259"/>
      <c r="C71" s="260"/>
      <c r="D71" s="257"/>
      <c r="E71" s="258"/>
      <c r="F71" s="16"/>
      <c r="G71" s="68"/>
      <c r="H71" s="90"/>
      <c r="I71" s="17"/>
      <c r="J71" s="88"/>
      <c r="L71" s="221" t="s">
        <v>188</v>
      </c>
      <c r="M71" s="237"/>
      <c r="N71" s="218" t="s">
        <v>62</v>
      </c>
      <c r="O71" s="218"/>
      <c r="P71" s="38">
        <v>460</v>
      </c>
      <c r="Q71" s="38">
        <v>600</v>
      </c>
      <c r="R71" s="4" t="s">
        <v>85</v>
      </c>
      <c r="S71" s="401" t="s">
        <v>378</v>
      </c>
      <c r="T71" s="308"/>
      <c r="U71" s="402" t="s">
        <v>248</v>
      </c>
      <c r="V71" s="403"/>
      <c r="W71" s="38">
        <v>4500</v>
      </c>
      <c r="X71" s="38">
        <v>5500</v>
      </c>
      <c r="Y71" s="38">
        <v>6000</v>
      </c>
      <c r="Z71" s="432" t="s">
        <v>270</v>
      </c>
      <c r="AA71" s="433"/>
      <c r="AB71" s="275" t="s">
        <v>71</v>
      </c>
      <c r="AC71" s="444"/>
      <c r="AD71" s="72">
        <v>260</v>
      </c>
      <c r="AE71" s="72"/>
      <c r="AF71" s="72">
        <v>330</v>
      </c>
    </row>
    <row r="72" spans="1:32" ht="16.5" customHeight="1">
      <c r="A72" s="5"/>
      <c r="B72" s="259"/>
      <c r="C72" s="260"/>
      <c r="D72" s="257"/>
      <c r="E72" s="258"/>
      <c r="F72" s="16"/>
      <c r="G72" s="68"/>
      <c r="H72" s="90"/>
      <c r="I72" s="17"/>
      <c r="J72" s="88"/>
      <c r="L72" s="221" t="s">
        <v>189</v>
      </c>
      <c r="M72" s="237"/>
      <c r="N72" s="218" t="s">
        <v>63</v>
      </c>
      <c r="O72" s="218"/>
      <c r="P72" s="38">
        <v>500</v>
      </c>
      <c r="Q72" s="38">
        <v>600</v>
      </c>
      <c r="R72" s="4" t="s">
        <v>84</v>
      </c>
      <c r="S72" s="421" t="s">
        <v>227</v>
      </c>
      <c r="T72" s="422"/>
      <c r="U72" s="415" t="s">
        <v>354</v>
      </c>
      <c r="V72" s="416"/>
      <c r="W72" s="38">
        <v>1900</v>
      </c>
      <c r="X72" s="38">
        <v>2100</v>
      </c>
      <c r="Y72" s="38">
        <v>2300</v>
      </c>
      <c r="Z72" s="432" t="s">
        <v>278</v>
      </c>
      <c r="AA72" s="433"/>
      <c r="AB72" s="275" t="s">
        <v>72</v>
      </c>
      <c r="AC72" s="444"/>
      <c r="AD72" s="72">
        <v>800</v>
      </c>
      <c r="AE72" s="72"/>
      <c r="AF72" s="72">
        <v>1000</v>
      </c>
    </row>
    <row r="73" spans="1:32" ht="16.5" customHeight="1">
      <c r="A73" s="5"/>
      <c r="B73" s="259"/>
      <c r="C73" s="260"/>
      <c r="D73" s="257"/>
      <c r="E73" s="258"/>
      <c r="F73" s="16"/>
      <c r="G73" s="68"/>
      <c r="H73" s="17"/>
      <c r="I73" s="17"/>
      <c r="J73" s="88"/>
      <c r="L73" s="212" t="s">
        <v>190</v>
      </c>
      <c r="M73" s="242"/>
      <c r="N73" s="213" t="s">
        <v>64</v>
      </c>
      <c r="O73" s="213"/>
      <c r="P73" s="38">
        <v>350</v>
      </c>
      <c r="Q73" s="38">
        <v>500</v>
      </c>
      <c r="R73" s="4" t="s">
        <v>84</v>
      </c>
      <c r="S73" s="401" t="s">
        <v>228</v>
      </c>
      <c r="T73" s="308"/>
      <c r="U73" s="402" t="s">
        <v>354</v>
      </c>
      <c r="V73" s="403"/>
      <c r="W73" s="38">
        <v>1900</v>
      </c>
      <c r="X73" s="38">
        <v>2100</v>
      </c>
      <c r="Y73" s="38">
        <v>2300</v>
      </c>
      <c r="Z73" s="432" t="s">
        <v>279</v>
      </c>
      <c r="AA73" s="433"/>
      <c r="AB73" s="275" t="s">
        <v>80</v>
      </c>
      <c r="AC73" s="444"/>
      <c r="AD73" s="72"/>
      <c r="AE73" s="72"/>
      <c r="AF73" s="72"/>
    </row>
    <row r="74" spans="1:32" ht="16.5" customHeight="1">
      <c r="A74" s="5"/>
      <c r="B74" s="259"/>
      <c r="C74" s="260"/>
      <c r="D74" s="257"/>
      <c r="E74" s="258"/>
      <c r="F74" s="16"/>
      <c r="G74" s="68"/>
      <c r="H74" s="17"/>
      <c r="I74" s="17"/>
      <c r="J74" s="88"/>
      <c r="L74" s="212" t="s">
        <v>308</v>
      </c>
      <c r="M74" s="242"/>
      <c r="N74" s="213" t="s">
        <v>390</v>
      </c>
      <c r="O74" s="213"/>
      <c r="P74" s="38">
        <v>600</v>
      </c>
      <c r="Q74" s="38">
        <v>750</v>
      </c>
      <c r="R74" s="4" t="s">
        <v>84</v>
      </c>
      <c r="S74" s="421" t="s">
        <v>229</v>
      </c>
      <c r="T74" s="422"/>
      <c r="U74" s="415" t="s">
        <v>354</v>
      </c>
      <c r="V74" s="416"/>
      <c r="W74" s="38">
        <v>2000</v>
      </c>
      <c r="X74" s="38">
        <v>2200</v>
      </c>
      <c r="Y74" s="38">
        <v>2400</v>
      </c>
      <c r="Z74" s="432" t="s">
        <v>280</v>
      </c>
      <c r="AA74" s="433"/>
      <c r="AB74" s="275" t="s">
        <v>71</v>
      </c>
      <c r="AC74" s="444"/>
      <c r="AD74" s="72">
        <v>400</v>
      </c>
      <c r="AE74" s="72"/>
      <c r="AF74" s="72">
        <v>500</v>
      </c>
    </row>
    <row r="75" spans="1:32" ht="16.5" customHeight="1">
      <c r="A75" s="12"/>
      <c r="B75" s="259"/>
      <c r="C75" s="260"/>
      <c r="D75" s="257"/>
      <c r="E75" s="258"/>
      <c r="F75" s="16"/>
      <c r="G75" s="68"/>
      <c r="H75" s="17"/>
      <c r="I75" s="17"/>
      <c r="J75" s="88"/>
      <c r="L75" s="212" t="s">
        <v>346</v>
      </c>
      <c r="M75" s="242"/>
      <c r="N75" s="213" t="s">
        <v>355</v>
      </c>
      <c r="O75" s="213"/>
      <c r="P75" s="38">
        <v>620</v>
      </c>
      <c r="Q75" s="38">
        <v>750</v>
      </c>
      <c r="R75" s="4" t="s">
        <v>84</v>
      </c>
      <c r="S75" s="401" t="s">
        <v>230</v>
      </c>
      <c r="T75" s="308"/>
      <c r="U75" s="402" t="s">
        <v>97</v>
      </c>
      <c r="V75" s="403"/>
      <c r="W75" s="38">
        <v>650</v>
      </c>
      <c r="X75" s="38">
        <v>700</v>
      </c>
      <c r="Y75" s="38">
        <v>800</v>
      </c>
      <c r="Z75" s="432" t="s">
        <v>281</v>
      </c>
      <c r="AA75" s="433"/>
      <c r="AB75" s="275" t="s">
        <v>72</v>
      </c>
      <c r="AC75" s="444"/>
      <c r="AD75" s="72">
        <v>550</v>
      </c>
      <c r="AE75" s="72"/>
      <c r="AF75" s="72">
        <v>680</v>
      </c>
    </row>
    <row r="76" spans="1:32" ht="16.5" customHeight="1">
      <c r="A76" s="89"/>
      <c r="B76" s="259"/>
      <c r="C76" s="260"/>
      <c r="D76" s="257"/>
      <c r="E76" s="258"/>
      <c r="F76" s="89"/>
      <c r="G76" s="18"/>
      <c r="H76" s="90"/>
      <c r="I76" s="17"/>
      <c r="J76" s="88"/>
      <c r="L76" s="215" t="s">
        <v>418</v>
      </c>
      <c r="M76" s="243"/>
      <c r="N76" s="218" t="s">
        <v>65</v>
      </c>
      <c r="O76" s="218"/>
      <c r="P76" s="38">
        <v>1800</v>
      </c>
      <c r="Q76" s="38">
        <v>2200</v>
      </c>
      <c r="R76" s="4" t="s">
        <v>84</v>
      </c>
      <c r="S76" s="421" t="s">
        <v>231</v>
      </c>
      <c r="T76" s="422"/>
      <c r="U76" s="415" t="s">
        <v>98</v>
      </c>
      <c r="V76" s="416"/>
      <c r="W76" s="38">
        <v>500</v>
      </c>
      <c r="X76" s="38">
        <v>600</v>
      </c>
      <c r="Y76" s="38">
        <v>600</v>
      </c>
      <c r="Z76" s="432" t="s">
        <v>282</v>
      </c>
      <c r="AA76" s="433"/>
      <c r="AB76" s="275" t="s">
        <v>81</v>
      </c>
      <c r="AC76" s="444"/>
      <c r="AD76" s="72">
        <v>300</v>
      </c>
      <c r="AE76" s="72"/>
      <c r="AF76" s="72">
        <v>550</v>
      </c>
    </row>
    <row r="77" spans="1:32" ht="16.5" customHeight="1">
      <c r="A77" s="88"/>
      <c r="B77" s="259"/>
      <c r="C77" s="260"/>
      <c r="D77" s="257"/>
      <c r="E77" s="258"/>
      <c r="F77" s="89"/>
      <c r="G77" s="18"/>
      <c r="H77" s="90"/>
      <c r="I77" s="17"/>
      <c r="J77" s="88"/>
      <c r="L77" s="215" t="s">
        <v>419</v>
      </c>
      <c r="M77" s="243"/>
      <c r="N77" s="218" t="s">
        <v>65</v>
      </c>
      <c r="O77" s="218"/>
      <c r="P77" s="38">
        <v>1850</v>
      </c>
      <c r="Q77" s="38">
        <v>2300</v>
      </c>
      <c r="R77" s="4" t="s">
        <v>84</v>
      </c>
      <c r="S77" s="401" t="s">
        <v>232</v>
      </c>
      <c r="T77" s="308"/>
      <c r="U77" s="402" t="s">
        <v>98</v>
      </c>
      <c r="V77" s="403"/>
      <c r="W77" s="38">
        <v>500</v>
      </c>
      <c r="X77" s="38">
        <v>600</v>
      </c>
      <c r="Y77" s="38">
        <v>600</v>
      </c>
      <c r="Z77" s="432" t="s">
        <v>283</v>
      </c>
      <c r="AA77" s="433"/>
      <c r="AB77" s="275" t="s">
        <v>82</v>
      </c>
      <c r="AC77" s="444"/>
      <c r="AD77" s="72">
        <v>200</v>
      </c>
      <c r="AE77" s="72"/>
      <c r="AF77" s="72"/>
    </row>
    <row r="78" spans="1:32" ht="16.5" customHeight="1">
      <c r="A78" s="88"/>
      <c r="B78" s="259"/>
      <c r="C78" s="260"/>
      <c r="D78" s="257"/>
      <c r="E78" s="258"/>
      <c r="F78" s="89"/>
      <c r="G78" s="89"/>
      <c r="H78" s="17"/>
      <c r="I78" s="17"/>
      <c r="J78" s="88"/>
      <c r="L78" s="215" t="s">
        <v>420</v>
      </c>
      <c r="M78" s="243"/>
      <c r="N78" s="218" t="s">
        <v>65</v>
      </c>
      <c r="O78" s="218"/>
      <c r="P78" s="38">
        <v>1950</v>
      </c>
      <c r="Q78" s="38">
        <v>2400</v>
      </c>
      <c r="R78" s="7" t="s">
        <v>83</v>
      </c>
      <c r="S78" s="401" t="s">
        <v>320</v>
      </c>
      <c r="T78" s="308"/>
      <c r="U78" s="402" t="s">
        <v>321</v>
      </c>
      <c r="V78" s="403"/>
      <c r="W78" s="38">
        <v>2100</v>
      </c>
      <c r="X78" s="38">
        <v>2400</v>
      </c>
      <c r="Y78" s="38">
        <v>2600</v>
      </c>
      <c r="Z78" s="432" t="s">
        <v>372</v>
      </c>
      <c r="AA78" s="433"/>
      <c r="AB78" s="275" t="s">
        <v>81</v>
      </c>
      <c r="AC78" s="444"/>
      <c r="AD78" s="75"/>
      <c r="AE78" s="72"/>
      <c r="AF78" s="72"/>
    </row>
    <row r="79" spans="1:32" ht="16.5" customHeight="1">
      <c r="A79" s="88"/>
      <c r="B79" s="259"/>
      <c r="C79" s="260"/>
      <c r="D79" s="257"/>
      <c r="E79" s="258"/>
      <c r="F79" s="89"/>
      <c r="G79" s="89"/>
      <c r="H79" s="17"/>
      <c r="I79" s="17"/>
      <c r="J79" s="88"/>
      <c r="L79" s="215" t="s">
        <v>421</v>
      </c>
      <c r="M79" s="243"/>
      <c r="N79" s="218" t="s">
        <v>65</v>
      </c>
      <c r="O79" s="218"/>
      <c r="P79" s="38">
        <v>2000</v>
      </c>
      <c r="Q79" s="38">
        <v>2400</v>
      </c>
      <c r="R79" s="4" t="s">
        <v>84</v>
      </c>
      <c r="S79" s="401" t="s">
        <v>234</v>
      </c>
      <c r="T79" s="308"/>
      <c r="U79" s="402" t="s">
        <v>250</v>
      </c>
      <c r="V79" s="403"/>
      <c r="W79" s="38">
        <v>2500</v>
      </c>
      <c r="X79" s="38">
        <v>2700</v>
      </c>
      <c r="Y79" s="38">
        <v>3000</v>
      </c>
      <c r="Z79" s="432" t="s">
        <v>287</v>
      </c>
      <c r="AA79" s="433"/>
      <c r="AB79" s="275" t="s">
        <v>288</v>
      </c>
      <c r="AC79" s="444"/>
      <c r="AD79" s="75">
        <v>700</v>
      </c>
      <c r="AE79" s="72"/>
      <c r="AF79" s="72">
        <v>850</v>
      </c>
    </row>
    <row r="80" spans="1:32" ht="16.5" customHeight="1">
      <c r="A80" s="88"/>
      <c r="B80" s="259"/>
      <c r="C80" s="260"/>
      <c r="D80" s="257"/>
      <c r="E80" s="258"/>
      <c r="F80" s="89"/>
      <c r="G80" s="89"/>
      <c r="H80" s="17"/>
      <c r="I80" s="17"/>
      <c r="J80" s="88"/>
      <c r="L80" s="215" t="s">
        <v>422</v>
      </c>
      <c r="M80" s="243"/>
      <c r="N80" s="218" t="s">
        <v>65</v>
      </c>
      <c r="O80" s="218"/>
      <c r="P80" s="38">
        <v>2100</v>
      </c>
      <c r="Q80" s="38">
        <v>2500</v>
      </c>
      <c r="R80" s="4" t="s">
        <v>84</v>
      </c>
      <c r="S80" s="421" t="s">
        <v>235</v>
      </c>
      <c r="T80" s="422"/>
      <c r="U80" s="415" t="s">
        <v>250</v>
      </c>
      <c r="V80" s="416"/>
      <c r="W80" s="38">
        <v>2500</v>
      </c>
      <c r="X80" s="38">
        <v>2700</v>
      </c>
      <c r="Y80" s="38">
        <v>3000</v>
      </c>
      <c r="Z80" s="432" t="s">
        <v>345</v>
      </c>
      <c r="AA80" s="433"/>
      <c r="AB80" s="469" t="s">
        <v>74</v>
      </c>
      <c r="AC80" s="470"/>
      <c r="AD80" s="75">
        <v>300</v>
      </c>
      <c r="AE80" s="72"/>
      <c r="AF80" s="72"/>
    </row>
    <row r="81" spans="1:32" ht="16.5" customHeight="1">
      <c r="A81" s="89"/>
      <c r="B81" s="259"/>
      <c r="C81" s="260"/>
      <c r="D81" s="257"/>
      <c r="E81" s="258"/>
      <c r="F81" s="89"/>
      <c r="G81" s="89"/>
      <c r="H81" s="90"/>
      <c r="I81" s="17"/>
      <c r="J81" s="88"/>
      <c r="L81" s="215" t="s">
        <v>423</v>
      </c>
      <c r="M81" s="243"/>
      <c r="N81" s="218" t="s">
        <v>65</v>
      </c>
      <c r="O81" s="218"/>
      <c r="P81" s="38">
        <v>1850</v>
      </c>
      <c r="Q81" s="38">
        <v>2200</v>
      </c>
      <c r="R81" s="4" t="s">
        <v>84</v>
      </c>
      <c r="S81" s="401" t="s">
        <v>236</v>
      </c>
      <c r="T81" s="308"/>
      <c r="U81" s="402" t="s">
        <v>250</v>
      </c>
      <c r="V81" s="403"/>
      <c r="W81" s="38">
        <v>2500</v>
      </c>
      <c r="X81" s="38">
        <v>2800</v>
      </c>
      <c r="Y81" s="38">
        <v>3000</v>
      </c>
      <c r="Z81" s="432" t="s">
        <v>286</v>
      </c>
      <c r="AA81" s="433"/>
      <c r="AB81" s="469"/>
      <c r="AC81" s="470"/>
      <c r="AD81" s="75">
        <v>500</v>
      </c>
      <c r="AE81" s="72"/>
      <c r="AF81" s="72">
        <v>600</v>
      </c>
    </row>
    <row r="82" spans="1:32" ht="16.5" customHeight="1">
      <c r="A82" s="88"/>
      <c r="B82" s="259"/>
      <c r="C82" s="260"/>
      <c r="D82" s="257"/>
      <c r="E82" s="258"/>
      <c r="F82" s="89"/>
      <c r="G82" s="89"/>
      <c r="H82" s="90"/>
      <c r="I82" s="17"/>
      <c r="J82" s="88"/>
      <c r="L82" s="215" t="s">
        <v>191</v>
      </c>
      <c r="M82" s="243"/>
      <c r="N82" s="218" t="s">
        <v>208</v>
      </c>
      <c r="O82" s="218"/>
      <c r="P82" s="38">
        <v>200</v>
      </c>
      <c r="Q82" s="38">
        <v>250</v>
      </c>
      <c r="R82" s="4" t="s">
        <v>85</v>
      </c>
      <c r="S82" s="421" t="s">
        <v>237</v>
      </c>
      <c r="T82" s="422"/>
      <c r="U82" s="415" t="s">
        <v>250</v>
      </c>
      <c r="V82" s="416"/>
      <c r="W82" s="38">
        <v>2600</v>
      </c>
      <c r="X82" s="38">
        <v>2900</v>
      </c>
      <c r="Y82" s="38">
        <v>3200</v>
      </c>
      <c r="Z82" s="432" t="s">
        <v>316</v>
      </c>
      <c r="AA82" s="433"/>
      <c r="AB82" s="278" t="s">
        <v>317</v>
      </c>
      <c r="AC82" s="275"/>
      <c r="AD82" s="75">
        <v>300</v>
      </c>
      <c r="AE82" s="72"/>
      <c r="AF82" s="72">
        <v>400</v>
      </c>
    </row>
    <row r="83" spans="1:32" ht="16.5" customHeight="1">
      <c r="A83" s="88"/>
      <c r="B83" s="259"/>
      <c r="C83" s="260"/>
      <c r="D83" s="257"/>
      <c r="E83" s="258"/>
      <c r="F83" s="89"/>
      <c r="G83" s="89"/>
      <c r="H83" s="17"/>
      <c r="I83" s="17"/>
      <c r="J83" s="88"/>
      <c r="L83" s="215" t="s">
        <v>192</v>
      </c>
      <c r="M83" s="243"/>
      <c r="N83" s="218" t="s">
        <v>209</v>
      </c>
      <c r="O83" s="218"/>
      <c r="P83" s="38">
        <v>2200</v>
      </c>
      <c r="Q83" s="38">
        <v>3000</v>
      </c>
      <c r="R83" s="4" t="s">
        <v>85</v>
      </c>
      <c r="S83" s="401" t="s">
        <v>238</v>
      </c>
      <c r="T83" s="308"/>
      <c r="U83" s="402" t="s">
        <v>250</v>
      </c>
      <c r="V83" s="403"/>
      <c r="W83" s="38">
        <v>2700</v>
      </c>
      <c r="X83" s="38">
        <v>3000</v>
      </c>
      <c r="Y83" s="38">
        <v>3300</v>
      </c>
      <c r="Z83" s="432" t="s">
        <v>289</v>
      </c>
      <c r="AA83" s="433"/>
      <c r="AB83" s="275" t="s">
        <v>315</v>
      </c>
      <c r="AC83" s="444"/>
      <c r="AD83" s="75">
        <v>350</v>
      </c>
      <c r="AE83" s="72"/>
      <c r="AF83" s="72">
        <v>450</v>
      </c>
    </row>
    <row r="84" spans="1:32" ht="16.5" customHeight="1">
      <c r="A84" s="88"/>
      <c r="B84" s="259"/>
      <c r="C84" s="260"/>
      <c r="D84" s="257"/>
      <c r="E84" s="258"/>
      <c r="F84" s="89"/>
      <c r="G84" s="89"/>
      <c r="H84" s="17"/>
      <c r="I84" s="17"/>
      <c r="J84" s="88"/>
      <c r="L84" s="215" t="s">
        <v>193</v>
      </c>
      <c r="M84" s="243"/>
      <c r="N84" s="218" t="s">
        <v>209</v>
      </c>
      <c r="O84" s="218"/>
      <c r="P84" s="38">
        <v>5500</v>
      </c>
      <c r="Q84" s="38">
        <v>7200</v>
      </c>
      <c r="R84" s="4" t="s">
        <v>84</v>
      </c>
      <c r="S84" s="421" t="s">
        <v>239</v>
      </c>
      <c r="T84" s="422"/>
      <c r="U84" s="415" t="s">
        <v>250</v>
      </c>
      <c r="V84" s="416"/>
      <c r="W84" s="38">
        <v>2800</v>
      </c>
      <c r="X84" s="38">
        <v>3100</v>
      </c>
      <c r="Y84" s="38">
        <v>3320</v>
      </c>
      <c r="Z84" s="432" t="s">
        <v>285</v>
      </c>
      <c r="AA84" s="433"/>
      <c r="AB84" s="469"/>
      <c r="AC84" s="470"/>
      <c r="AD84" s="75">
        <v>600</v>
      </c>
      <c r="AE84" s="72"/>
      <c r="AF84" s="72">
        <v>750</v>
      </c>
    </row>
    <row r="85" spans="1:32" ht="16.5" customHeight="1">
      <c r="A85" s="88"/>
      <c r="B85" s="259"/>
      <c r="C85" s="260"/>
      <c r="D85" s="257"/>
      <c r="E85" s="258"/>
      <c r="F85" s="89"/>
      <c r="G85" s="89"/>
      <c r="H85" s="17"/>
      <c r="I85" s="17"/>
      <c r="J85" s="88"/>
      <c r="L85" s="215" t="s">
        <v>194</v>
      </c>
      <c r="M85" s="243"/>
      <c r="N85" s="218" t="s">
        <v>209</v>
      </c>
      <c r="O85" s="218"/>
      <c r="P85" s="38">
        <v>11000</v>
      </c>
      <c r="Q85" s="38">
        <v>14000</v>
      </c>
      <c r="R85" s="4" t="s">
        <v>85</v>
      </c>
      <c r="S85" s="401" t="s">
        <v>240</v>
      </c>
      <c r="T85" s="308"/>
      <c r="U85" s="402" t="s">
        <v>251</v>
      </c>
      <c r="V85" s="403"/>
      <c r="W85" s="38">
        <v>2800</v>
      </c>
      <c r="X85" s="38">
        <v>3100</v>
      </c>
      <c r="Y85" s="38">
        <v>3400</v>
      </c>
      <c r="Z85" s="478" t="s">
        <v>308</v>
      </c>
      <c r="AA85" s="473"/>
      <c r="AB85" s="471" t="s">
        <v>64</v>
      </c>
      <c r="AC85" s="471"/>
      <c r="AD85" s="75"/>
      <c r="AE85" s="72">
        <v>650</v>
      </c>
      <c r="AF85" s="72"/>
    </row>
    <row r="86" spans="1:32" ht="16.5" customHeight="1">
      <c r="A86" s="88"/>
      <c r="B86" s="253"/>
      <c r="C86" s="254"/>
      <c r="D86" s="270"/>
      <c r="E86" s="271"/>
      <c r="F86" s="89"/>
      <c r="G86" s="89"/>
      <c r="H86" s="89"/>
      <c r="I86" s="89"/>
      <c r="J86" s="88"/>
      <c r="L86" s="215" t="s">
        <v>195</v>
      </c>
      <c r="M86" s="243"/>
      <c r="N86" s="218" t="s">
        <v>210</v>
      </c>
      <c r="O86" s="218"/>
      <c r="P86" s="38">
        <v>150</v>
      </c>
      <c r="Q86" s="38">
        <v>200</v>
      </c>
      <c r="R86" s="4" t="s">
        <v>39</v>
      </c>
      <c r="S86" s="421" t="s">
        <v>241</v>
      </c>
      <c r="T86" s="422"/>
      <c r="U86" s="415" t="s">
        <v>251</v>
      </c>
      <c r="V86" s="416"/>
      <c r="W86" s="38">
        <v>2800</v>
      </c>
      <c r="X86" s="38">
        <v>3100</v>
      </c>
      <c r="Y86" s="38">
        <v>3400</v>
      </c>
      <c r="Z86" s="475" t="s">
        <v>309</v>
      </c>
      <c r="AA86" s="476"/>
      <c r="AB86" s="477" t="s">
        <v>310</v>
      </c>
      <c r="AC86" s="450"/>
      <c r="AD86" s="75"/>
      <c r="AE86" s="72">
        <v>360</v>
      </c>
      <c r="AF86" s="72"/>
    </row>
    <row r="87" spans="1:32" ht="16.5" customHeight="1">
      <c r="A87" s="88"/>
      <c r="B87" s="253"/>
      <c r="C87" s="254"/>
      <c r="D87" s="270"/>
      <c r="E87" s="271"/>
      <c r="F87" s="89"/>
      <c r="G87" s="89"/>
      <c r="H87" s="89"/>
      <c r="I87" s="89"/>
      <c r="J87" s="88"/>
      <c r="L87" s="215" t="s">
        <v>196</v>
      </c>
      <c r="M87" s="243"/>
      <c r="N87" s="213" t="s">
        <v>211</v>
      </c>
      <c r="O87" s="213"/>
      <c r="P87" s="38">
        <v>100</v>
      </c>
      <c r="Q87" s="38">
        <v>150</v>
      </c>
      <c r="R87" s="4" t="s">
        <v>84</v>
      </c>
      <c r="S87" s="401" t="s">
        <v>242</v>
      </c>
      <c r="T87" s="308"/>
      <c r="U87" s="402" t="s">
        <v>252</v>
      </c>
      <c r="V87" s="403"/>
      <c r="W87" s="38">
        <v>2700</v>
      </c>
      <c r="X87" s="38">
        <v>3000</v>
      </c>
      <c r="Y87" s="38">
        <v>3300</v>
      </c>
      <c r="Z87" s="432" t="s">
        <v>365</v>
      </c>
      <c r="AA87" s="433"/>
      <c r="AB87" s="469" t="s">
        <v>74</v>
      </c>
      <c r="AC87" s="470"/>
      <c r="AD87" s="75">
        <v>200</v>
      </c>
      <c r="AE87" s="72">
        <v>250</v>
      </c>
      <c r="AF87" s="72">
        <v>300</v>
      </c>
    </row>
    <row r="88" spans="1:32" ht="16.5" customHeight="1">
      <c r="A88" s="88"/>
      <c r="B88" s="253"/>
      <c r="C88" s="254"/>
      <c r="D88" s="270"/>
      <c r="E88" s="271"/>
      <c r="F88" s="89"/>
      <c r="G88" s="89"/>
      <c r="H88" s="89"/>
      <c r="I88" s="89"/>
      <c r="J88" s="88"/>
      <c r="L88" s="215" t="s">
        <v>197</v>
      </c>
      <c r="M88" s="243"/>
      <c r="N88" s="218" t="s">
        <v>212</v>
      </c>
      <c r="O88" s="218"/>
      <c r="P88" s="39">
        <v>600</v>
      </c>
      <c r="Q88" s="38">
        <v>800</v>
      </c>
      <c r="R88" s="4" t="s">
        <v>85</v>
      </c>
      <c r="S88" s="421" t="s">
        <v>243</v>
      </c>
      <c r="T88" s="422"/>
      <c r="U88" s="415" t="s">
        <v>252</v>
      </c>
      <c r="V88" s="416"/>
      <c r="W88" s="38">
        <v>2700</v>
      </c>
      <c r="X88" s="38">
        <v>3000</v>
      </c>
      <c r="Y88" s="38">
        <v>3300</v>
      </c>
      <c r="Z88" s="475" t="s">
        <v>358</v>
      </c>
      <c r="AA88" s="476"/>
      <c r="AB88" s="477" t="s">
        <v>252</v>
      </c>
      <c r="AC88" s="450"/>
      <c r="AD88" s="72">
        <v>2700</v>
      </c>
      <c r="AE88" s="72">
        <v>3000</v>
      </c>
      <c r="AF88" s="72">
        <v>3300</v>
      </c>
    </row>
    <row r="89" spans="1:32" ht="16.5" customHeight="1">
      <c r="A89" s="88"/>
      <c r="B89" s="253"/>
      <c r="C89" s="254"/>
      <c r="D89" s="270"/>
      <c r="E89" s="271"/>
      <c r="F89" s="89"/>
      <c r="G89" s="89"/>
      <c r="H89" s="89"/>
      <c r="I89" s="89"/>
      <c r="J89" s="88"/>
      <c r="L89" s="215" t="s">
        <v>198</v>
      </c>
      <c r="M89" s="243"/>
      <c r="N89" s="217" t="s">
        <v>174</v>
      </c>
      <c r="O89" s="217"/>
      <c r="P89" s="21">
        <v>200</v>
      </c>
      <c r="Q89" s="41">
        <v>250</v>
      </c>
      <c r="R89" s="4" t="s">
        <v>85</v>
      </c>
      <c r="S89" s="401" t="s">
        <v>244</v>
      </c>
      <c r="T89" s="308"/>
      <c r="U89" s="402" t="s">
        <v>253</v>
      </c>
      <c r="V89" s="403"/>
      <c r="W89" s="38">
        <v>9500</v>
      </c>
      <c r="X89" s="38">
        <v>11000</v>
      </c>
      <c r="Y89" s="38">
        <v>12000</v>
      </c>
      <c r="Z89" s="474"/>
      <c r="AA89" s="469"/>
      <c r="AB89" s="469"/>
      <c r="AC89" s="470"/>
      <c r="AD89" s="76"/>
      <c r="AE89" s="76"/>
      <c r="AF89" s="76"/>
    </row>
    <row r="90" spans="1:32" ht="16.5" customHeight="1">
      <c r="A90" s="88"/>
      <c r="B90" s="253"/>
      <c r="C90" s="254"/>
      <c r="D90" s="270"/>
      <c r="E90" s="271"/>
      <c r="F90" s="89"/>
      <c r="G90" s="89"/>
      <c r="H90" s="89"/>
      <c r="I90" s="89"/>
      <c r="J90" s="88"/>
      <c r="L90" s="215" t="s">
        <v>199</v>
      </c>
      <c r="M90" s="243"/>
      <c r="N90" s="217" t="s">
        <v>86</v>
      </c>
      <c r="O90" s="217"/>
      <c r="P90" s="21">
        <v>13000</v>
      </c>
      <c r="Q90" s="41">
        <v>16000</v>
      </c>
      <c r="R90" s="4" t="s">
        <v>85</v>
      </c>
      <c r="S90" s="401" t="s">
        <v>245</v>
      </c>
      <c r="T90" s="308"/>
      <c r="U90" s="402" t="s">
        <v>254</v>
      </c>
      <c r="V90" s="403"/>
      <c r="W90" s="38">
        <v>650</v>
      </c>
      <c r="X90" s="38">
        <v>750</v>
      </c>
      <c r="Y90" s="38">
        <v>800</v>
      </c>
      <c r="Z90" s="474"/>
      <c r="AA90" s="469"/>
      <c r="AB90" s="469"/>
      <c r="AC90" s="470"/>
      <c r="AD90" s="75"/>
      <c r="AE90" s="72"/>
      <c r="AF90" s="72"/>
    </row>
    <row r="91" spans="1:32" ht="16.5" customHeight="1">
      <c r="A91" s="88"/>
      <c r="B91" s="253"/>
      <c r="C91" s="254"/>
      <c r="D91" s="270"/>
      <c r="E91" s="271"/>
      <c r="F91" s="89"/>
      <c r="G91" s="89"/>
      <c r="H91" s="89"/>
      <c r="I91" s="89"/>
      <c r="J91" s="88"/>
      <c r="L91" s="215" t="s">
        <v>200</v>
      </c>
      <c r="M91" s="243"/>
      <c r="N91" s="217" t="s">
        <v>213</v>
      </c>
      <c r="O91" s="217"/>
      <c r="P91" s="21">
        <v>3000</v>
      </c>
      <c r="Q91" s="41">
        <v>4200</v>
      </c>
      <c r="R91" s="4" t="s">
        <v>85</v>
      </c>
      <c r="S91" s="421" t="s">
        <v>246</v>
      </c>
      <c r="T91" s="422"/>
      <c r="U91" s="415" t="s">
        <v>255</v>
      </c>
      <c r="V91" s="416"/>
      <c r="W91" s="38">
        <v>100</v>
      </c>
      <c r="X91" s="38">
        <v>135</v>
      </c>
      <c r="Y91" s="38">
        <v>135</v>
      </c>
      <c r="Z91" s="432" t="s">
        <v>337</v>
      </c>
      <c r="AA91" s="433"/>
      <c r="AB91" s="275" t="s">
        <v>339</v>
      </c>
      <c r="AC91" s="444"/>
      <c r="AD91" s="75">
        <v>550</v>
      </c>
      <c r="AE91" s="72"/>
      <c r="AF91" s="72">
        <v>700</v>
      </c>
    </row>
    <row r="92" spans="1:32" ht="16.5" customHeight="1">
      <c r="A92" s="88"/>
      <c r="B92" s="253"/>
      <c r="C92" s="254"/>
      <c r="D92" s="270"/>
      <c r="E92" s="271"/>
      <c r="F92" s="89"/>
      <c r="G92" s="89"/>
      <c r="H92" s="89"/>
      <c r="I92" s="89"/>
      <c r="J92" s="88"/>
      <c r="L92" s="215" t="s">
        <v>201</v>
      </c>
      <c r="M92" s="243"/>
      <c r="N92" s="217" t="s">
        <v>87</v>
      </c>
      <c r="O92" s="217"/>
      <c r="P92" s="21">
        <v>1400</v>
      </c>
      <c r="Q92" s="41">
        <v>1800</v>
      </c>
      <c r="R92" s="4"/>
      <c r="S92" s="401" t="s">
        <v>247</v>
      </c>
      <c r="T92" s="308"/>
      <c r="U92" s="402" t="s">
        <v>256</v>
      </c>
      <c r="V92" s="403"/>
      <c r="W92" s="38">
        <v>700</v>
      </c>
      <c r="X92" s="38">
        <v>800</v>
      </c>
      <c r="Y92" s="38">
        <v>850</v>
      </c>
      <c r="Z92" s="432" t="s">
        <v>338</v>
      </c>
      <c r="AA92" s="433"/>
      <c r="AB92" s="275" t="s">
        <v>340</v>
      </c>
      <c r="AC92" s="444"/>
      <c r="AD92" s="75">
        <v>450</v>
      </c>
      <c r="AE92" s="72"/>
      <c r="AF92" s="72">
        <v>550</v>
      </c>
    </row>
    <row r="93" spans="1:32" ht="16.5" customHeight="1">
      <c r="A93" s="88"/>
      <c r="B93" s="253"/>
      <c r="C93" s="254"/>
      <c r="D93" s="270"/>
      <c r="E93" s="271"/>
      <c r="F93" s="89"/>
      <c r="G93" s="89"/>
      <c r="H93" s="89"/>
      <c r="I93" s="89"/>
      <c r="J93" s="88"/>
      <c r="L93" s="215" t="s">
        <v>202</v>
      </c>
      <c r="M93" s="243"/>
      <c r="N93" s="217" t="s">
        <v>88</v>
      </c>
      <c r="O93" s="217"/>
      <c r="P93" s="21">
        <v>1900</v>
      </c>
      <c r="Q93" s="41">
        <v>2400</v>
      </c>
      <c r="R93" s="4"/>
      <c r="S93" s="401" t="s">
        <v>263</v>
      </c>
      <c r="T93" s="308"/>
      <c r="U93" s="402" t="s">
        <v>250</v>
      </c>
      <c r="V93" s="403"/>
      <c r="W93" s="6">
        <v>2100</v>
      </c>
      <c r="X93" s="6">
        <v>2400</v>
      </c>
      <c r="Y93" s="6">
        <v>2600</v>
      </c>
      <c r="Z93" s="472" t="s">
        <v>311</v>
      </c>
      <c r="AA93" s="473"/>
      <c r="AB93" s="471" t="s">
        <v>312</v>
      </c>
      <c r="AC93" s="471"/>
      <c r="AD93" s="76"/>
      <c r="AE93" s="76"/>
      <c r="AF93" s="76"/>
    </row>
    <row r="94" spans="1:32" ht="16.5" customHeight="1">
      <c r="A94" s="88"/>
      <c r="B94" s="253"/>
      <c r="C94" s="254"/>
      <c r="D94" s="270"/>
      <c r="E94" s="271"/>
      <c r="F94" s="89"/>
      <c r="G94" s="89"/>
      <c r="H94" s="89"/>
      <c r="I94" s="89"/>
      <c r="J94" s="88"/>
      <c r="L94" s="215" t="s">
        <v>203</v>
      </c>
      <c r="M94" s="243"/>
      <c r="N94" s="217" t="s">
        <v>89</v>
      </c>
      <c r="O94" s="217"/>
      <c r="P94" s="21">
        <v>460</v>
      </c>
      <c r="Q94" s="41">
        <v>600</v>
      </c>
      <c r="R94" s="91"/>
      <c r="S94" s="92"/>
      <c r="T94" s="92"/>
      <c r="U94" s="53"/>
      <c r="V94" s="53"/>
      <c r="Z94" s="300" t="s">
        <v>38</v>
      </c>
      <c r="AA94" s="300"/>
      <c r="AB94" s="300"/>
      <c r="AC94" s="300"/>
      <c r="AD94" s="300"/>
      <c r="AE94" s="440"/>
      <c r="AF94" s="440"/>
    </row>
    <row r="95" spans="1:32" ht="16.5" customHeight="1">
      <c r="A95" s="88"/>
      <c r="B95" s="253"/>
      <c r="C95" s="254"/>
      <c r="D95" s="270"/>
      <c r="E95" s="271"/>
      <c r="F95" s="89"/>
      <c r="G95" s="89"/>
      <c r="H95" s="89"/>
      <c r="I95" s="89"/>
      <c r="J95" s="88"/>
      <c r="L95" s="215" t="s">
        <v>204</v>
      </c>
      <c r="M95" s="243"/>
      <c r="N95" s="216" t="s">
        <v>214</v>
      </c>
      <c r="O95" s="216"/>
      <c r="P95" s="21">
        <v>200</v>
      </c>
      <c r="Q95" s="41">
        <v>200</v>
      </c>
      <c r="R95" s="91"/>
      <c r="S95" s="91"/>
      <c r="T95" s="91"/>
      <c r="V95" s="53"/>
    </row>
    <row r="96" spans="1:32" ht="16.5" customHeight="1">
      <c r="A96" s="88"/>
      <c r="B96" s="253"/>
      <c r="C96" s="254"/>
      <c r="D96" s="270"/>
      <c r="E96" s="271"/>
      <c r="F96" s="89"/>
      <c r="G96" s="89"/>
      <c r="H96" s="89"/>
      <c r="I96" s="89"/>
      <c r="J96" s="88"/>
      <c r="L96" s="212" t="s">
        <v>311</v>
      </c>
      <c r="M96" s="242"/>
      <c r="N96" s="213" t="s">
        <v>312</v>
      </c>
      <c r="O96" s="213"/>
      <c r="P96" s="58">
        <v>100</v>
      </c>
      <c r="Q96" s="41">
        <v>150</v>
      </c>
    </row>
    <row r="97" spans="1:17" ht="16.5" customHeight="1">
      <c r="A97" s="88"/>
      <c r="B97" s="253"/>
      <c r="C97" s="254"/>
      <c r="D97" s="270"/>
      <c r="E97" s="271"/>
      <c r="F97" s="89"/>
      <c r="G97" s="89"/>
      <c r="H97" s="89"/>
      <c r="I97" s="89"/>
      <c r="J97" s="88"/>
      <c r="L97" s="221" t="s">
        <v>342</v>
      </c>
      <c r="M97" s="241"/>
      <c r="N97" s="214" t="s">
        <v>341</v>
      </c>
      <c r="O97" s="214"/>
      <c r="P97" s="21">
        <v>560</v>
      </c>
      <c r="Q97" s="41">
        <v>700</v>
      </c>
    </row>
    <row r="98" spans="1:17" ht="16.5" customHeight="1">
      <c r="A98" s="88"/>
      <c r="B98" s="253"/>
      <c r="C98" s="254"/>
      <c r="D98" s="270"/>
      <c r="E98" s="271"/>
      <c r="F98" s="89"/>
      <c r="G98" s="89"/>
      <c r="H98" s="89"/>
      <c r="I98" s="89"/>
      <c r="J98" s="88"/>
      <c r="L98" s="91" t="s">
        <v>33</v>
      </c>
      <c r="M98" s="91"/>
      <c r="N98" s="91"/>
      <c r="O98" s="91"/>
      <c r="P98" s="91"/>
      <c r="Q98" s="91"/>
    </row>
    <row r="99" spans="1:17" ht="16.5" customHeight="1">
      <c r="L99" s="91" t="s">
        <v>34</v>
      </c>
      <c r="M99" s="91"/>
      <c r="N99" s="91"/>
      <c r="O99" s="91"/>
      <c r="P99" s="91"/>
      <c r="Q99" s="91"/>
    </row>
    <row r="119" spans="16:26" ht="16.5" customHeight="1">
      <c r="R119" s="93"/>
      <c r="S119" s="93"/>
      <c r="T119" s="93"/>
      <c r="U119" s="93"/>
      <c r="V119" s="93"/>
      <c r="W119" s="93"/>
      <c r="X119" s="93"/>
      <c r="Y119" s="93"/>
      <c r="Z119" s="93"/>
    </row>
    <row r="120" spans="16:26" ht="16.5" customHeight="1">
      <c r="R120" s="93"/>
      <c r="S120" s="93"/>
      <c r="T120" s="93"/>
      <c r="U120" s="93"/>
      <c r="V120" s="93"/>
      <c r="W120" s="93"/>
      <c r="X120" s="93"/>
      <c r="Y120" s="93"/>
      <c r="Z120" s="93"/>
    </row>
    <row r="121" spans="16:26" ht="16.5" customHeight="1">
      <c r="R121" s="93"/>
      <c r="S121" s="93"/>
      <c r="T121" s="93"/>
      <c r="U121" s="93"/>
      <c r="V121" s="93"/>
      <c r="W121" s="93"/>
      <c r="X121" s="93"/>
      <c r="Y121" s="93"/>
      <c r="Z121" s="93"/>
    </row>
    <row r="122" spans="16:26" ht="16.5" customHeight="1">
      <c r="R122" s="93"/>
      <c r="S122" s="93"/>
      <c r="T122" s="93"/>
      <c r="U122" s="93"/>
      <c r="V122" s="93"/>
      <c r="W122" s="93"/>
      <c r="X122" s="93"/>
      <c r="Y122" s="93"/>
      <c r="Z122" s="93"/>
    </row>
    <row r="123" spans="16:26" ht="16.5" customHeight="1">
      <c r="P123" s="93"/>
      <c r="Q123" s="93"/>
      <c r="R123" s="93"/>
      <c r="S123" s="93"/>
      <c r="T123" s="93"/>
      <c r="U123" s="93"/>
      <c r="V123" s="93"/>
      <c r="W123" s="93"/>
      <c r="X123" s="93"/>
      <c r="Y123" s="93"/>
      <c r="Z123" s="93"/>
    </row>
    <row r="124" spans="16:26" ht="16.5" customHeight="1">
      <c r="P124" s="93"/>
      <c r="Q124" s="93"/>
      <c r="R124" s="93"/>
      <c r="S124" s="93"/>
      <c r="T124" s="93"/>
      <c r="U124" s="93"/>
      <c r="V124" s="93"/>
      <c r="W124" s="93"/>
      <c r="X124" s="93"/>
      <c r="Y124" s="93"/>
      <c r="Z124" s="93"/>
    </row>
    <row r="125" spans="16:26" ht="16.5" customHeight="1">
      <c r="P125" s="93"/>
      <c r="Q125" s="93"/>
      <c r="R125" s="93"/>
      <c r="S125" s="93"/>
      <c r="T125" s="93"/>
      <c r="U125" s="93"/>
      <c r="V125" s="93"/>
      <c r="W125" s="93"/>
      <c r="X125" s="93"/>
      <c r="Y125" s="93"/>
      <c r="Z125" s="93"/>
    </row>
    <row r="126" spans="16:26" ht="16.5" customHeight="1">
      <c r="P126" s="93"/>
      <c r="Q126" s="93"/>
    </row>
    <row r="127" spans="16:26" ht="16.5" customHeight="1">
      <c r="P127" s="93"/>
      <c r="Q127" s="93"/>
    </row>
    <row r="128" spans="16:26" ht="16.5" customHeight="1">
      <c r="P128" s="93"/>
      <c r="Q128" s="93"/>
    </row>
    <row r="129" spans="16:17" ht="16.5" customHeight="1">
      <c r="P129" s="93"/>
      <c r="Q129" s="93"/>
    </row>
    <row r="148" spans="1:11" ht="16.5" customHeight="1">
      <c r="A148" s="309" t="s">
        <v>4</v>
      </c>
      <c r="B148" s="309"/>
      <c r="C148" s="309"/>
      <c r="D148" s="309"/>
      <c r="E148" s="309"/>
      <c r="F148" s="309"/>
      <c r="G148" s="309"/>
      <c r="H148" s="309"/>
      <c r="I148" s="309"/>
      <c r="J148" s="309"/>
      <c r="K148" s="79"/>
    </row>
    <row r="149" spans="1:11" ht="16.5" customHeight="1">
      <c r="A149" s="23"/>
      <c r="B149" s="23"/>
      <c r="C149" s="23"/>
      <c r="D149" s="23"/>
      <c r="E149" s="23"/>
      <c r="F149" s="23"/>
      <c r="G149" s="23"/>
      <c r="H149" s="286"/>
      <c r="I149" s="286"/>
      <c r="J149" s="23"/>
      <c r="K149" s="23"/>
    </row>
    <row r="150" spans="1:11" ht="16.5" customHeight="1">
      <c r="A150" s="311"/>
      <c r="B150" s="311"/>
      <c r="C150" s="311"/>
      <c r="D150" s="311"/>
      <c r="E150" s="311"/>
      <c r="F150" s="23"/>
      <c r="G150" s="23"/>
      <c r="H150" s="305" t="s">
        <v>402</v>
      </c>
      <c r="I150" s="306"/>
      <c r="J150" s="306"/>
      <c r="K150" s="82"/>
    </row>
    <row r="151" spans="1:11" ht="16.5" customHeight="1">
      <c r="A151" s="280" t="s">
        <v>0</v>
      </c>
      <c r="B151" s="280"/>
      <c r="C151" s="280"/>
      <c r="D151" s="280"/>
      <c r="E151" s="280"/>
      <c r="F151" s="23"/>
      <c r="G151" s="23"/>
      <c r="H151" s="310"/>
      <c r="I151" s="310"/>
      <c r="J151" s="23"/>
      <c r="K151" s="23"/>
    </row>
    <row r="152" spans="1:11" ht="16.5" customHeight="1">
      <c r="A152" s="280" t="s">
        <v>1</v>
      </c>
      <c r="B152" s="280"/>
      <c r="C152" s="280"/>
      <c r="D152" s="280"/>
      <c r="E152" s="293"/>
      <c r="F152" s="23"/>
      <c r="G152" s="3"/>
      <c r="H152" s="294" t="s">
        <v>3</v>
      </c>
      <c r="I152" s="294"/>
      <c r="J152" s="298"/>
      <c r="K152" s="3"/>
    </row>
    <row r="153" spans="1:11" ht="16.5" customHeight="1">
      <c r="A153" s="280" t="s">
        <v>2</v>
      </c>
      <c r="B153" s="280"/>
      <c r="C153" s="280"/>
      <c r="D153" s="280"/>
      <c r="E153" s="293"/>
      <c r="F153" s="23"/>
      <c r="G153" s="3"/>
      <c r="H153" s="294" t="s">
        <v>24</v>
      </c>
      <c r="I153" s="294"/>
      <c r="J153" s="3"/>
      <c r="K153" s="3"/>
    </row>
    <row r="154" spans="1:11" ht="16.5" customHeight="1">
      <c r="A154" s="49"/>
      <c r="B154" s="49"/>
      <c r="C154" s="49"/>
      <c r="D154" s="54"/>
      <c r="E154" s="54"/>
      <c r="F154" s="23"/>
      <c r="G154" s="3"/>
      <c r="H154" s="294" t="s">
        <v>25</v>
      </c>
      <c r="I154" s="294"/>
      <c r="J154" s="294"/>
      <c r="K154" s="59"/>
    </row>
    <row r="155" spans="1:11" ht="16.5" customHeight="1">
      <c r="A155" s="297"/>
      <c r="B155" s="297"/>
      <c r="C155" s="297"/>
      <c r="D155" s="297"/>
      <c r="E155" s="55" t="s">
        <v>30</v>
      </c>
      <c r="F155" s="23"/>
      <c r="G155" s="3"/>
      <c r="H155" s="294" t="s">
        <v>26</v>
      </c>
      <c r="I155" s="294"/>
      <c r="J155" s="298"/>
      <c r="K155" s="3"/>
    </row>
    <row r="156" spans="1:11" ht="16.5" customHeight="1">
      <c r="A156" s="60"/>
      <c r="B156" s="51"/>
      <c r="C156" s="56"/>
      <c r="D156" s="52"/>
      <c r="E156" s="55" t="s">
        <v>5</v>
      </c>
      <c r="F156" s="23"/>
      <c r="G156" s="3"/>
      <c r="H156" s="294" t="s">
        <v>27</v>
      </c>
      <c r="I156" s="294"/>
      <c r="J156" s="298"/>
      <c r="K156" s="3"/>
    </row>
    <row r="157" spans="1:11" ht="16.5" customHeight="1">
      <c r="A157" s="56"/>
      <c r="B157" s="56"/>
      <c r="C157" s="56"/>
      <c r="D157" s="49"/>
      <c r="E157" s="49"/>
      <c r="F157" s="23"/>
      <c r="G157" s="294" t="s">
        <v>28</v>
      </c>
      <c r="H157" s="294"/>
      <c r="I157" s="294"/>
      <c r="J157" s="294"/>
      <c r="K157" s="59"/>
    </row>
    <row r="158" spans="1:11" ht="16.5" customHeight="1">
      <c r="A158" s="57"/>
      <c r="B158" s="295"/>
      <c r="C158" s="295"/>
      <c r="D158" s="295"/>
      <c r="E158" s="295"/>
      <c r="F158" s="23"/>
      <c r="G158" s="296"/>
      <c r="H158" s="296"/>
      <c r="I158" s="296"/>
      <c r="J158" s="296"/>
      <c r="K158" s="23"/>
    </row>
    <row r="159" spans="1:11" ht="16.5" customHeight="1">
      <c r="A159" s="2" t="s">
        <v>6</v>
      </c>
      <c r="B159" s="262"/>
      <c r="C159" s="263"/>
      <c r="D159" s="263"/>
      <c r="E159" s="264"/>
      <c r="F159" s="23"/>
      <c r="G159" s="23"/>
      <c r="H159" s="24"/>
      <c r="I159" s="24"/>
      <c r="J159" s="24"/>
      <c r="K159" s="24"/>
    </row>
    <row r="160" spans="1:11" ht="16.5" customHeight="1">
      <c r="A160" s="2" t="s">
        <v>7</v>
      </c>
      <c r="B160" s="262" t="s">
        <v>359</v>
      </c>
      <c r="C160" s="263"/>
      <c r="D160" s="263"/>
      <c r="E160" s="264"/>
      <c r="F160" s="23"/>
      <c r="G160" s="23"/>
      <c r="H160" s="315"/>
      <c r="I160" s="455" t="s">
        <v>11</v>
      </c>
      <c r="J160" s="452"/>
      <c r="K160" s="28"/>
    </row>
    <row r="161" spans="1:11" ht="16.5" customHeight="1">
      <c r="A161" s="2" t="s">
        <v>8</v>
      </c>
      <c r="B161" s="262" t="s">
        <v>21</v>
      </c>
      <c r="C161" s="263"/>
      <c r="D161" s="263"/>
      <c r="E161" s="264"/>
      <c r="F161" s="23"/>
      <c r="G161" s="23"/>
      <c r="H161" s="316"/>
      <c r="I161" s="456"/>
      <c r="J161" s="453"/>
      <c r="K161" s="28"/>
    </row>
    <row r="162" spans="1:11" ht="16.5" customHeight="1">
      <c r="A162" s="2" t="s">
        <v>9</v>
      </c>
      <c r="B162" s="262" t="s">
        <v>22</v>
      </c>
      <c r="C162" s="263"/>
      <c r="D162" s="263"/>
      <c r="E162" s="264"/>
      <c r="F162" s="23"/>
      <c r="G162" s="23"/>
      <c r="H162" s="316"/>
      <c r="I162" s="456"/>
      <c r="J162" s="453"/>
      <c r="K162" s="28"/>
    </row>
    <row r="163" spans="1:11" ht="16.5" customHeight="1">
      <c r="A163" s="2" t="s">
        <v>10</v>
      </c>
      <c r="B163" s="262" t="s">
        <v>23</v>
      </c>
      <c r="C163" s="263"/>
      <c r="D163" s="263"/>
      <c r="E163" s="264"/>
      <c r="F163" s="23"/>
      <c r="G163" s="23"/>
      <c r="H163" s="317"/>
      <c r="I163" s="457"/>
      <c r="J163" s="454"/>
      <c r="K163" s="28"/>
    </row>
    <row r="164" spans="1:11" ht="16.5" customHeight="1">
      <c r="A164" s="3"/>
      <c r="B164" s="49"/>
      <c r="C164" s="49"/>
      <c r="D164" s="49"/>
      <c r="E164" s="49"/>
      <c r="F164" s="23"/>
      <c r="G164" s="23"/>
      <c r="H164" s="23"/>
      <c r="I164" s="23"/>
      <c r="J164" s="23"/>
      <c r="K164" s="23"/>
    </row>
    <row r="165" spans="1:11" ht="16.5" customHeight="1">
      <c r="A165" s="2" t="s">
        <v>12</v>
      </c>
      <c r="B165" s="318"/>
      <c r="C165" s="319"/>
      <c r="D165" s="319"/>
      <c r="E165" s="320"/>
      <c r="F165" s="281" t="s">
        <v>13</v>
      </c>
      <c r="G165" s="282"/>
      <c r="H165" s="283"/>
      <c r="I165" s="284"/>
      <c r="J165" s="23"/>
      <c r="K165" s="23"/>
    </row>
    <row r="166" spans="1:11" ht="16.5" customHeight="1">
      <c r="A166" s="49"/>
      <c r="B166" s="49"/>
      <c r="C166" s="49"/>
      <c r="D166" s="49"/>
      <c r="E166" s="49"/>
      <c r="F166" s="23"/>
      <c r="G166" s="23"/>
      <c r="H166" s="23"/>
      <c r="I166" s="304"/>
      <c r="J166" s="304"/>
      <c r="K166" s="11"/>
    </row>
    <row r="167" spans="1:11" ht="16.5" customHeight="1">
      <c r="A167" s="26" t="s">
        <v>14</v>
      </c>
      <c r="B167" s="301" t="s">
        <v>20</v>
      </c>
      <c r="C167" s="302"/>
      <c r="D167" s="302"/>
      <c r="E167" s="303"/>
      <c r="F167" s="27" t="s">
        <v>19</v>
      </c>
      <c r="G167" s="27" t="s">
        <v>18</v>
      </c>
      <c r="H167" s="27" t="s">
        <v>29</v>
      </c>
      <c r="I167" s="27" t="s">
        <v>16</v>
      </c>
      <c r="J167" s="78" t="s">
        <v>17</v>
      </c>
      <c r="K167" s="82"/>
    </row>
    <row r="168" spans="1:11" ht="16.5" customHeight="1">
      <c r="A168" s="20"/>
      <c r="B168" s="262" t="s">
        <v>403</v>
      </c>
      <c r="C168" s="263"/>
      <c r="D168" s="263"/>
      <c r="E168" s="263"/>
      <c r="F168" s="263"/>
      <c r="G168" s="263"/>
      <c r="H168" s="264"/>
      <c r="I168" s="14"/>
      <c r="J168" s="80"/>
      <c r="K168" s="11"/>
    </row>
    <row r="169" spans="1:11" ht="16.5" customHeight="1">
      <c r="A169" s="20"/>
      <c r="B169" s="465" t="s">
        <v>182</v>
      </c>
      <c r="C169" s="466"/>
      <c r="D169" s="412" t="s">
        <v>100</v>
      </c>
      <c r="E169" s="412"/>
      <c r="F169" s="16">
        <v>1</v>
      </c>
      <c r="G169" s="16"/>
      <c r="H169" s="14">
        <v>20085</v>
      </c>
      <c r="I169" s="14">
        <f>F169*H169</f>
        <v>20085</v>
      </c>
      <c r="J169" s="80"/>
      <c r="K169" s="11"/>
    </row>
    <row r="170" spans="1:11" ht="16.5" customHeight="1">
      <c r="A170" s="20"/>
      <c r="B170" s="398" t="s">
        <v>183</v>
      </c>
      <c r="C170" s="325"/>
      <c r="D170" s="402" t="s">
        <v>205</v>
      </c>
      <c r="E170" s="403"/>
      <c r="F170" s="16">
        <v>1</v>
      </c>
      <c r="G170" s="16"/>
      <c r="H170" s="14">
        <v>15768</v>
      </c>
      <c r="I170" s="14">
        <f t="shared" ref="I170:I180" si="0">F170*H170</f>
        <v>15768</v>
      </c>
      <c r="J170" s="80"/>
      <c r="K170" s="11"/>
    </row>
    <row r="171" spans="1:11" ht="16.5" customHeight="1">
      <c r="A171" s="20"/>
      <c r="B171" s="413" t="s">
        <v>189</v>
      </c>
      <c r="C171" s="414"/>
      <c r="D171" s="412" t="s">
        <v>63</v>
      </c>
      <c r="E171" s="412"/>
      <c r="F171" s="16">
        <v>8</v>
      </c>
      <c r="G171" s="16"/>
      <c r="H171" s="14">
        <v>1080</v>
      </c>
      <c r="I171" s="14">
        <f t="shared" si="0"/>
        <v>8640</v>
      </c>
      <c r="J171" s="80"/>
      <c r="K171" s="11"/>
    </row>
    <row r="172" spans="1:11" ht="16.5" customHeight="1">
      <c r="A172" s="20"/>
      <c r="B172" s="401" t="s">
        <v>190</v>
      </c>
      <c r="C172" s="308"/>
      <c r="D172" s="402" t="s">
        <v>64</v>
      </c>
      <c r="E172" s="403"/>
      <c r="F172" s="16">
        <v>8</v>
      </c>
      <c r="G172" s="16"/>
      <c r="H172" s="14">
        <v>780</v>
      </c>
      <c r="I172" s="14">
        <f t="shared" si="0"/>
        <v>6240</v>
      </c>
      <c r="J172" s="80"/>
      <c r="K172" s="11"/>
    </row>
    <row r="173" spans="1:11" ht="16.5" customHeight="1">
      <c r="A173" s="20"/>
      <c r="B173" s="262" t="s">
        <v>404</v>
      </c>
      <c r="C173" s="263"/>
      <c r="D173" s="263"/>
      <c r="E173" s="264"/>
      <c r="F173" s="16">
        <v>8</v>
      </c>
      <c r="G173" s="16"/>
      <c r="H173" s="14">
        <v>400</v>
      </c>
      <c r="I173" s="14">
        <f t="shared" si="0"/>
        <v>3200</v>
      </c>
      <c r="J173" s="80"/>
      <c r="K173" s="11"/>
    </row>
    <row r="174" spans="1:11" ht="16.5" customHeight="1">
      <c r="A174" s="20"/>
      <c r="B174" s="262" t="s">
        <v>405</v>
      </c>
      <c r="C174" s="263"/>
      <c r="D174" s="263"/>
      <c r="E174" s="264"/>
      <c r="F174" s="16">
        <v>8</v>
      </c>
      <c r="G174" s="16"/>
      <c r="H174" s="14">
        <v>1100</v>
      </c>
      <c r="I174" s="14">
        <f t="shared" si="0"/>
        <v>8800</v>
      </c>
      <c r="J174" s="80"/>
      <c r="K174" s="11"/>
    </row>
    <row r="175" spans="1:11" ht="16.5" customHeight="1">
      <c r="A175" s="20"/>
      <c r="B175" s="401" t="s">
        <v>375</v>
      </c>
      <c r="C175" s="308"/>
      <c r="D175" s="402" t="s">
        <v>248</v>
      </c>
      <c r="E175" s="403"/>
      <c r="F175" s="16">
        <v>1</v>
      </c>
      <c r="G175" s="16"/>
      <c r="H175" s="14">
        <v>2730</v>
      </c>
      <c r="I175" s="14">
        <f t="shared" si="0"/>
        <v>2730</v>
      </c>
      <c r="J175" s="80"/>
      <c r="K175" s="11"/>
    </row>
    <row r="176" spans="1:11" ht="16.5" customHeight="1">
      <c r="A176" s="20"/>
      <c r="B176" s="401" t="s">
        <v>406</v>
      </c>
      <c r="C176" s="308"/>
      <c r="D176" s="402" t="s">
        <v>252</v>
      </c>
      <c r="E176" s="403"/>
      <c r="F176" s="16">
        <v>8</v>
      </c>
      <c r="G176" s="16"/>
      <c r="H176" s="14">
        <v>5480</v>
      </c>
      <c r="I176" s="14">
        <f t="shared" si="0"/>
        <v>43840</v>
      </c>
      <c r="J176" s="80"/>
      <c r="K176" s="11"/>
    </row>
    <row r="177" spans="1:11" ht="16.5" customHeight="1">
      <c r="A177" s="20"/>
      <c r="B177" s="421" t="s">
        <v>233</v>
      </c>
      <c r="C177" s="422"/>
      <c r="D177" s="415" t="s">
        <v>249</v>
      </c>
      <c r="E177" s="416"/>
      <c r="F177" s="16">
        <v>16</v>
      </c>
      <c r="G177" s="16"/>
      <c r="H177" s="14">
        <v>345</v>
      </c>
      <c r="I177" s="14">
        <f t="shared" si="0"/>
        <v>5520</v>
      </c>
      <c r="J177" s="80"/>
      <c r="K177" s="11"/>
    </row>
    <row r="178" spans="1:11" ht="16.5" customHeight="1">
      <c r="A178" s="13"/>
      <c r="B178" s="464" t="s">
        <v>195</v>
      </c>
      <c r="C178" s="414"/>
      <c r="D178" s="412" t="s">
        <v>210</v>
      </c>
      <c r="E178" s="412"/>
      <c r="F178" s="16">
        <v>3</v>
      </c>
      <c r="G178" s="16"/>
      <c r="H178" s="14">
        <v>180</v>
      </c>
      <c r="I178" s="14">
        <f t="shared" si="0"/>
        <v>540</v>
      </c>
      <c r="J178" s="80"/>
      <c r="K178" s="11"/>
    </row>
    <row r="179" spans="1:11" ht="16.5" customHeight="1">
      <c r="A179" s="13"/>
      <c r="B179" s="464" t="s">
        <v>407</v>
      </c>
      <c r="C179" s="414"/>
      <c r="D179" s="412" t="s">
        <v>209</v>
      </c>
      <c r="E179" s="412"/>
      <c r="F179" s="16">
        <v>1</v>
      </c>
      <c r="G179" s="16"/>
      <c r="H179" s="14">
        <v>2100</v>
      </c>
      <c r="I179" s="14">
        <f t="shared" si="0"/>
        <v>2100</v>
      </c>
      <c r="J179" s="80"/>
      <c r="K179" s="11"/>
    </row>
    <row r="180" spans="1:11" ht="16.5" customHeight="1">
      <c r="A180" s="13"/>
      <c r="B180" s="461" t="s">
        <v>408</v>
      </c>
      <c r="C180" s="462"/>
      <c r="D180" s="462"/>
      <c r="E180" s="463"/>
      <c r="F180" s="16">
        <v>1</v>
      </c>
      <c r="G180" s="16"/>
      <c r="H180" s="14">
        <v>5000</v>
      </c>
      <c r="I180" s="14">
        <f t="shared" si="0"/>
        <v>5000</v>
      </c>
      <c r="J180" s="80"/>
      <c r="K180" s="11"/>
    </row>
    <row r="181" spans="1:11" ht="16.5" customHeight="1">
      <c r="A181" s="13"/>
      <c r="B181" s="459"/>
      <c r="C181" s="300"/>
      <c r="D181" s="300"/>
      <c r="E181" s="460"/>
      <c r="F181" s="16"/>
      <c r="G181" s="16"/>
      <c r="H181" s="14"/>
      <c r="I181" s="14"/>
      <c r="J181" s="80"/>
      <c r="K181" s="11"/>
    </row>
    <row r="182" spans="1:11" ht="16.5" customHeight="1">
      <c r="A182" s="13"/>
      <c r="B182" s="459" t="s">
        <v>409</v>
      </c>
      <c r="C182" s="300"/>
      <c r="D182" s="300"/>
      <c r="E182" s="460"/>
      <c r="F182" s="16">
        <v>1</v>
      </c>
      <c r="G182" s="16"/>
      <c r="H182" s="14"/>
      <c r="I182" s="14">
        <f>SUM(I169:I181)</f>
        <v>122463</v>
      </c>
      <c r="J182" s="80" t="s">
        <v>410</v>
      </c>
      <c r="K182" s="11"/>
    </row>
    <row r="183" spans="1:11" ht="16.5" customHeight="1">
      <c r="A183" s="13"/>
      <c r="B183" s="459" t="s">
        <v>411</v>
      </c>
      <c r="C183" s="300"/>
      <c r="D183" s="300"/>
      <c r="E183" s="460"/>
      <c r="F183" s="16">
        <v>1</v>
      </c>
      <c r="G183" s="16"/>
      <c r="H183" s="14"/>
      <c r="I183" s="14">
        <v>40000</v>
      </c>
      <c r="J183" s="80" t="s">
        <v>410</v>
      </c>
      <c r="K183" s="11"/>
    </row>
    <row r="184" spans="1:11" ht="16.5" customHeight="1">
      <c r="A184" s="13"/>
      <c r="B184" s="459" t="s">
        <v>412</v>
      </c>
      <c r="C184" s="300"/>
      <c r="D184" s="300"/>
      <c r="E184" s="460"/>
      <c r="F184" s="16"/>
      <c r="G184" s="16"/>
      <c r="H184" s="14"/>
      <c r="I184" s="14">
        <f>SUM(I182:I183)</f>
        <v>162463</v>
      </c>
      <c r="J184" s="80" t="s">
        <v>410</v>
      </c>
      <c r="K184" s="11"/>
    </row>
    <row r="185" spans="1:11" ht="16.5" customHeight="1">
      <c r="A185" s="13"/>
      <c r="B185" s="459"/>
      <c r="C185" s="300"/>
      <c r="D185" s="300"/>
      <c r="E185" s="460"/>
      <c r="F185" s="16"/>
      <c r="G185" s="16"/>
      <c r="H185" s="14"/>
      <c r="I185" s="14"/>
      <c r="J185" s="80"/>
      <c r="K185" s="11"/>
    </row>
    <row r="186" spans="1:11" ht="16.5" customHeight="1">
      <c r="A186" s="13"/>
      <c r="B186" s="459"/>
      <c r="C186" s="300"/>
      <c r="D186" s="300"/>
      <c r="E186" s="460"/>
      <c r="F186" s="16"/>
      <c r="G186" s="16"/>
      <c r="H186" s="14"/>
      <c r="I186" s="14">
        <v>56862</v>
      </c>
      <c r="J186" s="80" t="s">
        <v>413</v>
      </c>
      <c r="K186" s="11"/>
    </row>
    <row r="187" spans="1:11" ht="16.5" customHeight="1">
      <c r="A187" s="13"/>
      <c r="B187" s="459"/>
      <c r="C187" s="300"/>
      <c r="D187" s="300"/>
      <c r="E187" s="460"/>
      <c r="F187" s="16"/>
      <c r="G187" s="16"/>
      <c r="H187" s="14"/>
      <c r="I187" s="14"/>
      <c r="J187" s="80"/>
      <c r="K187" s="11"/>
    </row>
    <row r="188" spans="1:11" ht="16.5" customHeight="1">
      <c r="A188" s="13"/>
      <c r="B188" s="459"/>
      <c r="C188" s="300"/>
      <c r="D188" s="300"/>
      <c r="E188" s="460"/>
      <c r="F188" s="16"/>
      <c r="G188" s="16"/>
      <c r="H188" s="14"/>
      <c r="I188" s="14"/>
      <c r="J188" s="80"/>
      <c r="K188" s="11"/>
    </row>
    <row r="189" spans="1:11" ht="16.5" customHeight="1">
      <c r="A189" s="13"/>
      <c r="B189" s="459"/>
      <c r="C189" s="300"/>
      <c r="D189" s="300"/>
      <c r="E189" s="460"/>
      <c r="F189" s="16"/>
      <c r="G189" s="16"/>
      <c r="H189" s="14"/>
      <c r="I189" s="14"/>
      <c r="J189" s="80"/>
      <c r="K189" s="11"/>
    </row>
    <row r="190" spans="1:11" ht="16.5" customHeight="1">
      <c r="A190" s="13"/>
      <c r="B190" s="459"/>
      <c r="C190" s="300"/>
      <c r="D190" s="300"/>
      <c r="E190" s="460"/>
      <c r="F190" s="16"/>
      <c r="G190" s="16"/>
      <c r="H190" s="14"/>
      <c r="I190" s="14"/>
      <c r="J190" s="80"/>
      <c r="K190" s="11"/>
    </row>
    <row r="191" spans="1:11" ht="16.5" customHeight="1">
      <c r="A191" s="13"/>
      <c r="B191" s="459"/>
      <c r="C191" s="300"/>
      <c r="D191" s="300"/>
      <c r="E191" s="460"/>
      <c r="F191" s="16"/>
      <c r="G191" s="16"/>
      <c r="H191" s="14"/>
      <c r="I191" s="14"/>
      <c r="J191" s="80"/>
      <c r="K191" s="11"/>
    </row>
    <row r="192" spans="1:11" ht="16.5" customHeight="1">
      <c r="A192" s="13"/>
      <c r="B192" s="459"/>
      <c r="C192" s="300"/>
      <c r="D192" s="300"/>
      <c r="E192" s="460"/>
      <c r="F192" s="16"/>
      <c r="G192" s="16"/>
      <c r="H192" s="10"/>
      <c r="I192" s="14"/>
      <c r="J192" s="84"/>
      <c r="K192" s="9"/>
    </row>
    <row r="193" spans="1:11" ht="16.5" customHeight="1">
      <c r="A193" s="13"/>
      <c r="B193" s="459"/>
      <c r="C193" s="300"/>
      <c r="D193" s="300"/>
      <c r="E193" s="460"/>
      <c r="F193" s="16"/>
      <c r="G193" s="16"/>
      <c r="H193" s="10"/>
      <c r="I193" s="17"/>
      <c r="J193" s="81"/>
      <c r="K193" s="19"/>
    </row>
    <row r="194" spans="1:11" ht="16.5" customHeight="1">
      <c r="A194" s="9"/>
      <c r="B194" s="9"/>
      <c r="C194" s="9"/>
      <c r="D194" s="9"/>
      <c r="E194" s="9"/>
      <c r="F194" s="9"/>
      <c r="G194" s="9"/>
      <c r="H194" s="11"/>
      <c r="I194" s="9"/>
      <c r="J194" s="9"/>
      <c r="K194" s="9"/>
    </row>
    <row r="197" spans="1:11" ht="16.5" customHeight="1">
      <c r="A197" s="26" t="s">
        <v>14</v>
      </c>
      <c r="B197" s="301" t="s">
        <v>20</v>
      </c>
      <c r="C197" s="302"/>
      <c r="D197" s="302"/>
      <c r="E197" s="303"/>
      <c r="F197" s="27" t="s">
        <v>19</v>
      </c>
      <c r="G197" s="27" t="s">
        <v>18</v>
      </c>
      <c r="H197" s="27" t="s">
        <v>29</v>
      </c>
      <c r="I197" s="27" t="s">
        <v>16</v>
      </c>
      <c r="J197" s="78" t="s">
        <v>17</v>
      </c>
      <c r="K197" s="82"/>
    </row>
    <row r="198" spans="1:11" ht="16.5" customHeight="1">
      <c r="A198" s="20"/>
      <c r="B198" s="262" t="s">
        <v>414</v>
      </c>
      <c r="C198" s="263"/>
      <c r="D198" s="263"/>
      <c r="E198" s="263"/>
      <c r="F198" s="263"/>
      <c r="G198" s="263"/>
      <c r="H198" s="264"/>
      <c r="I198" s="14"/>
      <c r="J198" s="80"/>
      <c r="K198" s="11"/>
    </row>
    <row r="199" spans="1:11" ht="16.5" customHeight="1">
      <c r="A199" s="20"/>
      <c r="B199" s="465" t="s">
        <v>182</v>
      </c>
      <c r="C199" s="466"/>
      <c r="D199" s="412" t="s">
        <v>100</v>
      </c>
      <c r="E199" s="412"/>
      <c r="F199" s="16">
        <v>1</v>
      </c>
      <c r="G199" s="16"/>
      <c r="H199" s="14">
        <v>20085</v>
      </c>
      <c r="I199" s="14">
        <f>F199*H199</f>
        <v>20085</v>
      </c>
      <c r="J199" s="80"/>
      <c r="K199" s="11"/>
    </row>
    <row r="200" spans="1:11" ht="16.5" customHeight="1">
      <c r="A200" s="20"/>
      <c r="B200" s="398" t="s">
        <v>183</v>
      </c>
      <c r="C200" s="325"/>
      <c r="D200" s="402" t="s">
        <v>205</v>
      </c>
      <c r="E200" s="403"/>
      <c r="F200" s="16">
        <v>1</v>
      </c>
      <c r="G200" s="16"/>
      <c r="H200" s="14">
        <v>15768</v>
      </c>
      <c r="I200" s="14">
        <f t="shared" ref="I200:I210" si="1">F200*H200</f>
        <v>15768</v>
      </c>
      <c r="J200" s="80"/>
      <c r="K200" s="11"/>
    </row>
    <row r="201" spans="1:11" ht="16.5" customHeight="1">
      <c r="A201" s="20"/>
      <c r="B201" s="413" t="s">
        <v>189</v>
      </c>
      <c r="C201" s="414"/>
      <c r="D201" s="412" t="s">
        <v>63</v>
      </c>
      <c r="E201" s="412"/>
      <c r="F201" s="16">
        <v>6</v>
      </c>
      <c r="G201" s="16"/>
      <c r="H201" s="14">
        <v>1080</v>
      </c>
      <c r="I201" s="14">
        <f t="shared" si="1"/>
        <v>6480</v>
      </c>
      <c r="J201" s="80"/>
      <c r="K201" s="11"/>
    </row>
    <row r="202" spans="1:11" ht="16.5" customHeight="1">
      <c r="A202" s="20"/>
      <c r="B202" s="401" t="s">
        <v>190</v>
      </c>
      <c r="C202" s="308"/>
      <c r="D202" s="402" t="s">
        <v>64</v>
      </c>
      <c r="E202" s="403"/>
      <c r="F202" s="16">
        <v>6</v>
      </c>
      <c r="G202" s="16"/>
      <c r="H202" s="14">
        <v>780</v>
      </c>
      <c r="I202" s="14">
        <f t="shared" si="1"/>
        <v>4680</v>
      </c>
      <c r="J202" s="80"/>
      <c r="K202" s="11"/>
    </row>
    <row r="203" spans="1:11" ht="16.5" customHeight="1">
      <c r="A203" s="20"/>
      <c r="B203" s="262" t="s">
        <v>404</v>
      </c>
      <c r="C203" s="263"/>
      <c r="D203" s="263"/>
      <c r="E203" s="264"/>
      <c r="F203" s="16">
        <v>6</v>
      </c>
      <c r="G203" s="16"/>
      <c r="H203" s="14">
        <v>400</v>
      </c>
      <c r="I203" s="14">
        <f t="shared" si="1"/>
        <v>2400</v>
      </c>
      <c r="J203" s="80"/>
      <c r="K203" s="11"/>
    </row>
    <row r="204" spans="1:11" ht="16.5" customHeight="1">
      <c r="A204" s="20"/>
      <c r="B204" s="262" t="s">
        <v>405</v>
      </c>
      <c r="C204" s="263"/>
      <c r="D204" s="263"/>
      <c r="E204" s="264"/>
      <c r="F204" s="16">
        <v>6</v>
      </c>
      <c r="G204" s="16"/>
      <c r="H204" s="14">
        <v>1100</v>
      </c>
      <c r="I204" s="14">
        <f t="shared" si="1"/>
        <v>6600</v>
      </c>
      <c r="J204" s="80"/>
      <c r="K204" s="11"/>
    </row>
    <row r="205" spans="1:11" ht="16.5" customHeight="1">
      <c r="A205" s="20"/>
      <c r="B205" s="401" t="s">
        <v>375</v>
      </c>
      <c r="C205" s="308"/>
      <c r="D205" s="402" t="s">
        <v>248</v>
      </c>
      <c r="E205" s="403"/>
      <c r="F205" s="16">
        <v>1</v>
      </c>
      <c r="G205" s="16"/>
      <c r="H205" s="14">
        <v>2730</v>
      </c>
      <c r="I205" s="14">
        <f t="shared" si="1"/>
        <v>2730</v>
      </c>
      <c r="J205" s="80"/>
      <c r="K205" s="11"/>
    </row>
    <row r="206" spans="1:11" ht="16.5" customHeight="1">
      <c r="A206" s="20"/>
      <c r="B206" s="401" t="s">
        <v>406</v>
      </c>
      <c r="C206" s="308"/>
      <c r="D206" s="402" t="s">
        <v>252</v>
      </c>
      <c r="E206" s="403"/>
      <c r="F206" s="16">
        <v>6</v>
      </c>
      <c r="G206" s="16"/>
      <c r="H206" s="14">
        <v>5480</v>
      </c>
      <c r="I206" s="14">
        <f t="shared" si="1"/>
        <v>32880</v>
      </c>
      <c r="J206" s="80"/>
      <c r="K206" s="11"/>
    </row>
    <row r="207" spans="1:11" ht="16.5" customHeight="1">
      <c r="A207" s="20"/>
      <c r="B207" s="421" t="s">
        <v>233</v>
      </c>
      <c r="C207" s="422"/>
      <c r="D207" s="415" t="s">
        <v>249</v>
      </c>
      <c r="E207" s="416"/>
      <c r="F207" s="16">
        <v>12</v>
      </c>
      <c r="G207" s="16"/>
      <c r="H207" s="14">
        <v>345</v>
      </c>
      <c r="I207" s="14">
        <f t="shared" si="1"/>
        <v>4140</v>
      </c>
      <c r="J207" s="80"/>
      <c r="K207" s="11"/>
    </row>
    <row r="208" spans="1:11" ht="16.5" customHeight="1">
      <c r="A208" s="13"/>
      <c r="B208" s="464" t="s">
        <v>195</v>
      </c>
      <c r="C208" s="414"/>
      <c r="D208" s="412" t="s">
        <v>210</v>
      </c>
      <c r="E208" s="412"/>
      <c r="F208" s="16">
        <v>3</v>
      </c>
      <c r="G208" s="16"/>
      <c r="H208" s="14">
        <v>180</v>
      </c>
      <c r="I208" s="14">
        <f t="shared" si="1"/>
        <v>540</v>
      </c>
      <c r="J208" s="80"/>
      <c r="K208" s="11"/>
    </row>
    <row r="209" spans="1:11" ht="16.5" customHeight="1">
      <c r="A209" s="13"/>
      <c r="B209" s="464" t="s">
        <v>407</v>
      </c>
      <c r="C209" s="414"/>
      <c r="D209" s="412" t="s">
        <v>209</v>
      </c>
      <c r="E209" s="412"/>
      <c r="F209" s="16">
        <v>1</v>
      </c>
      <c r="G209" s="16"/>
      <c r="H209" s="14">
        <v>2100</v>
      </c>
      <c r="I209" s="14">
        <f t="shared" si="1"/>
        <v>2100</v>
      </c>
      <c r="J209" s="80"/>
      <c r="K209" s="11"/>
    </row>
    <row r="210" spans="1:11" ht="16.5" customHeight="1">
      <c r="A210" s="13"/>
      <c r="B210" s="461" t="s">
        <v>408</v>
      </c>
      <c r="C210" s="462"/>
      <c r="D210" s="462"/>
      <c r="E210" s="463"/>
      <c r="F210" s="16">
        <v>1</v>
      </c>
      <c r="G210" s="16"/>
      <c r="H210" s="14">
        <v>5000</v>
      </c>
      <c r="I210" s="14">
        <f t="shared" si="1"/>
        <v>5000</v>
      </c>
      <c r="J210" s="80"/>
      <c r="K210" s="11"/>
    </row>
    <row r="211" spans="1:11" ht="16.5" customHeight="1">
      <c r="A211" s="13"/>
      <c r="B211" s="459"/>
      <c r="C211" s="300"/>
      <c r="D211" s="300"/>
      <c r="E211" s="460"/>
      <c r="F211" s="16"/>
      <c r="G211" s="16"/>
      <c r="H211" s="14"/>
      <c r="I211" s="14"/>
      <c r="J211" s="80"/>
      <c r="K211" s="11"/>
    </row>
    <row r="212" spans="1:11" ht="16.5" customHeight="1">
      <c r="A212" s="13"/>
      <c r="B212" s="459" t="s">
        <v>409</v>
      </c>
      <c r="C212" s="300"/>
      <c r="D212" s="300"/>
      <c r="E212" s="460"/>
      <c r="F212" s="16">
        <v>1</v>
      </c>
      <c r="G212" s="16"/>
      <c r="H212" s="14"/>
      <c r="I212" s="14">
        <f>SUM(I199:I211)</f>
        <v>103403</v>
      </c>
      <c r="J212" s="80" t="s">
        <v>410</v>
      </c>
      <c r="K212" s="11"/>
    </row>
    <row r="213" spans="1:11" ht="16.5" customHeight="1">
      <c r="A213" s="13"/>
      <c r="B213" s="459" t="s">
        <v>411</v>
      </c>
      <c r="C213" s="300"/>
      <c r="D213" s="300"/>
      <c r="E213" s="460"/>
      <c r="F213" s="16">
        <v>1</v>
      </c>
      <c r="G213" s="16"/>
      <c r="H213" s="14"/>
      <c r="I213" s="14">
        <v>40000</v>
      </c>
      <c r="J213" s="80" t="s">
        <v>410</v>
      </c>
      <c r="K213" s="11"/>
    </row>
    <row r="214" spans="1:11" ht="16.5" customHeight="1">
      <c r="A214" s="13"/>
      <c r="B214" s="459" t="s">
        <v>412</v>
      </c>
      <c r="C214" s="300"/>
      <c r="D214" s="300"/>
      <c r="E214" s="460"/>
      <c r="F214" s="16"/>
      <c r="G214" s="16"/>
      <c r="H214" s="14"/>
      <c r="I214" s="14">
        <f>SUM(I212:I213)</f>
        <v>143403</v>
      </c>
      <c r="J214" s="80" t="s">
        <v>410</v>
      </c>
      <c r="K214" s="11"/>
    </row>
    <row r="215" spans="1:11" ht="16.5" customHeight="1">
      <c r="A215" s="13"/>
      <c r="B215" s="459"/>
      <c r="C215" s="300"/>
      <c r="D215" s="300"/>
      <c r="E215" s="460"/>
      <c r="F215" s="16"/>
      <c r="G215" s="16"/>
      <c r="H215" s="14"/>
      <c r="I215" s="14"/>
      <c r="J215" s="80"/>
      <c r="K215" s="11"/>
    </row>
    <row r="216" spans="1:11" ht="16.5" customHeight="1">
      <c r="A216" s="13"/>
      <c r="B216" s="459"/>
      <c r="C216" s="300"/>
      <c r="D216" s="300"/>
      <c r="E216" s="460"/>
      <c r="F216" s="16"/>
      <c r="G216" s="16"/>
      <c r="H216" s="14"/>
      <c r="I216" s="14">
        <v>50191</v>
      </c>
      <c r="J216" s="80" t="s">
        <v>413</v>
      </c>
      <c r="K216" s="11"/>
    </row>
    <row r="217" spans="1:11" ht="16.5" customHeight="1">
      <c r="A217" s="13"/>
      <c r="B217" s="459"/>
      <c r="C217" s="300"/>
      <c r="D217" s="300"/>
      <c r="E217" s="460"/>
      <c r="F217" s="16"/>
      <c r="G217" s="16"/>
      <c r="H217" s="14"/>
      <c r="I217" s="14"/>
      <c r="J217" s="80"/>
      <c r="K217" s="11"/>
    </row>
    <row r="218" spans="1:11" ht="16.5" customHeight="1">
      <c r="A218" s="26" t="s">
        <v>14</v>
      </c>
      <c r="B218" s="301" t="s">
        <v>20</v>
      </c>
      <c r="C218" s="302"/>
      <c r="D218" s="302"/>
      <c r="E218" s="303"/>
      <c r="F218" s="27" t="s">
        <v>19</v>
      </c>
      <c r="G218" s="27" t="s">
        <v>18</v>
      </c>
      <c r="H218" s="27" t="s">
        <v>29</v>
      </c>
      <c r="I218" s="27" t="s">
        <v>16</v>
      </c>
      <c r="J218" s="78" t="s">
        <v>17</v>
      </c>
      <c r="K218" s="82"/>
    </row>
    <row r="219" spans="1:11" ht="16.5" customHeight="1">
      <c r="A219" s="20"/>
      <c r="B219" s="262" t="s">
        <v>415</v>
      </c>
      <c r="C219" s="263"/>
      <c r="D219" s="263"/>
      <c r="E219" s="263"/>
      <c r="F219" s="263"/>
      <c r="G219" s="263"/>
      <c r="H219" s="264"/>
      <c r="I219" s="14"/>
      <c r="J219" s="80"/>
      <c r="K219" s="11"/>
    </row>
    <row r="220" spans="1:11" ht="16.5" customHeight="1">
      <c r="A220" s="20"/>
      <c r="B220" s="465" t="s">
        <v>182</v>
      </c>
      <c r="C220" s="466"/>
      <c r="D220" s="412" t="s">
        <v>100</v>
      </c>
      <c r="E220" s="412"/>
      <c r="F220" s="16">
        <v>1</v>
      </c>
      <c r="G220" s="16"/>
      <c r="H220" s="14">
        <v>20085</v>
      </c>
      <c r="I220" s="14">
        <f>F220*H220</f>
        <v>20085</v>
      </c>
      <c r="J220" s="80"/>
      <c r="K220" s="11"/>
    </row>
    <row r="221" spans="1:11" ht="16.5" customHeight="1">
      <c r="A221" s="20"/>
      <c r="B221" s="398" t="s">
        <v>183</v>
      </c>
      <c r="C221" s="325"/>
      <c r="D221" s="402" t="s">
        <v>205</v>
      </c>
      <c r="E221" s="403"/>
      <c r="F221" s="16">
        <v>1</v>
      </c>
      <c r="G221" s="16"/>
      <c r="H221" s="14">
        <v>15768</v>
      </c>
      <c r="I221" s="14">
        <f t="shared" ref="I221:I231" si="2">F221*H221</f>
        <v>15768</v>
      </c>
      <c r="J221" s="80"/>
      <c r="K221" s="11"/>
    </row>
    <row r="222" spans="1:11" ht="16.5" customHeight="1">
      <c r="A222" s="20"/>
      <c r="B222" s="413" t="s">
        <v>189</v>
      </c>
      <c r="C222" s="414"/>
      <c r="D222" s="412" t="s">
        <v>63</v>
      </c>
      <c r="E222" s="412"/>
      <c r="F222" s="16">
        <v>4</v>
      </c>
      <c r="G222" s="16"/>
      <c r="H222" s="14">
        <v>1080</v>
      </c>
      <c r="I222" s="14">
        <f t="shared" si="2"/>
        <v>4320</v>
      </c>
      <c r="J222" s="80"/>
      <c r="K222" s="11"/>
    </row>
    <row r="223" spans="1:11" ht="16.5" customHeight="1">
      <c r="A223" s="20"/>
      <c r="B223" s="401" t="s">
        <v>190</v>
      </c>
      <c r="C223" s="308"/>
      <c r="D223" s="402" t="s">
        <v>64</v>
      </c>
      <c r="E223" s="403"/>
      <c r="F223" s="16">
        <v>4</v>
      </c>
      <c r="G223" s="16"/>
      <c r="H223" s="14">
        <v>780</v>
      </c>
      <c r="I223" s="14">
        <f t="shared" si="2"/>
        <v>3120</v>
      </c>
      <c r="J223" s="80"/>
      <c r="K223" s="11"/>
    </row>
    <row r="224" spans="1:11" ht="16.5" customHeight="1">
      <c r="A224" s="20"/>
      <c r="B224" s="262" t="s">
        <v>404</v>
      </c>
      <c r="C224" s="263"/>
      <c r="D224" s="263"/>
      <c r="E224" s="264"/>
      <c r="F224" s="16">
        <v>4</v>
      </c>
      <c r="G224" s="16"/>
      <c r="H224" s="14">
        <v>400</v>
      </c>
      <c r="I224" s="14">
        <f t="shared" si="2"/>
        <v>1600</v>
      </c>
      <c r="J224" s="80"/>
      <c r="K224" s="11"/>
    </row>
    <row r="225" spans="1:11" ht="16.5" customHeight="1">
      <c r="A225" s="20"/>
      <c r="B225" s="262" t="s">
        <v>405</v>
      </c>
      <c r="C225" s="263"/>
      <c r="D225" s="263"/>
      <c r="E225" s="264"/>
      <c r="F225" s="16">
        <v>4</v>
      </c>
      <c r="G225" s="16"/>
      <c r="H225" s="14">
        <v>1100</v>
      </c>
      <c r="I225" s="14">
        <f t="shared" si="2"/>
        <v>4400</v>
      </c>
      <c r="J225" s="80"/>
      <c r="K225" s="11"/>
    </row>
    <row r="226" spans="1:11" ht="16.5" customHeight="1">
      <c r="A226" s="20"/>
      <c r="B226" s="401" t="s">
        <v>375</v>
      </c>
      <c r="C226" s="308"/>
      <c r="D226" s="402" t="s">
        <v>248</v>
      </c>
      <c r="E226" s="403"/>
      <c r="F226" s="16">
        <v>1</v>
      </c>
      <c r="G226" s="16"/>
      <c r="H226" s="14">
        <v>2730</v>
      </c>
      <c r="I226" s="14">
        <f t="shared" si="2"/>
        <v>2730</v>
      </c>
      <c r="J226" s="80"/>
      <c r="K226" s="11"/>
    </row>
    <row r="227" spans="1:11" ht="16.5" customHeight="1">
      <c r="A227" s="20"/>
      <c r="B227" s="401" t="s">
        <v>406</v>
      </c>
      <c r="C227" s="308"/>
      <c r="D227" s="402" t="s">
        <v>252</v>
      </c>
      <c r="E227" s="403"/>
      <c r="F227" s="16">
        <v>4</v>
      </c>
      <c r="G227" s="16"/>
      <c r="H227" s="14">
        <v>5480</v>
      </c>
      <c r="I227" s="14">
        <f t="shared" si="2"/>
        <v>21920</v>
      </c>
      <c r="J227" s="80"/>
      <c r="K227" s="11"/>
    </row>
    <row r="228" spans="1:11" ht="16.5" customHeight="1">
      <c r="A228" s="20"/>
      <c r="B228" s="421" t="s">
        <v>233</v>
      </c>
      <c r="C228" s="422"/>
      <c r="D228" s="415" t="s">
        <v>249</v>
      </c>
      <c r="E228" s="416"/>
      <c r="F228" s="16">
        <v>8</v>
      </c>
      <c r="G228" s="16"/>
      <c r="H228" s="14">
        <v>345</v>
      </c>
      <c r="I228" s="14">
        <f t="shared" si="2"/>
        <v>2760</v>
      </c>
      <c r="J228" s="80"/>
      <c r="K228" s="11"/>
    </row>
    <row r="229" spans="1:11" ht="16.5" customHeight="1">
      <c r="A229" s="13"/>
      <c r="B229" s="464" t="s">
        <v>195</v>
      </c>
      <c r="C229" s="414"/>
      <c r="D229" s="412" t="s">
        <v>210</v>
      </c>
      <c r="E229" s="412"/>
      <c r="F229" s="16">
        <v>3</v>
      </c>
      <c r="G229" s="16"/>
      <c r="H229" s="14">
        <v>180</v>
      </c>
      <c r="I229" s="14">
        <f t="shared" si="2"/>
        <v>540</v>
      </c>
      <c r="J229" s="80"/>
      <c r="K229" s="11"/>
    </row>
    <row r="230" spans="1:11" ht="16.5" customHeight="1">
      <c r="A230" s="13"/>
      <c r="B230" s="464" t="s">
        <v>407</v>
      </c>
      <c r="C230" s="414"/>
      <c r="D230" s="412" t="s">
        <v>209</v>
      </c>
      <c r="E230" s="412"/>
      <c r="F230" s="16">
        <v>1</v>
      </c>
      <c r="G230" s="16"/>
      <c r="H230" s="14">
        <v>2100</v>
      </c>
      <c r="I230" s="14">
        <f t="shared" si="2"/>
        <v>2100</v>
      </c>
      <c r="J230" s="80"/>
      <c r="K230" s="11"/>
    </row>
    <row r="231" spans="1:11" ht="16.5" customHeight="1">
      <c r="A231" s="13"/>
      <c r="B231" s="461" t="s">
        <v>408</v>
      </c>
      <c r="C231" s="462"/>
      <c r="D231" s="462"/>
      <c r="E231" s="463"/>
      <c r="F231" s="16">
        <v>1</v>
      </c>
      <c r="G231" s="16"/>
      <c r="H231" s="14">
        <v>5000</v>
      </c>
      <c r="I231" s="14">
        <f t="shared" si="2"/>
        <v>5000</v>
      </c>
      <c r="J231" s="80"/>
      <c r="K231" s="11"/>
    </row>
    <row r="232" spans="1:11" ht="16.5" customHeight="1">
      <c r="A232" s="13"/>
      <c r="B232" s="459"/>
      <c r="C232" s="300"/>
      <c r="D232" s="300"/>
      <c r="E232" s="460"/>
      <c r="F232" s="16"/>
      <c r="G232" s="16"/>
      <c r="H232" s="14"/>
      <c r="I232" s="14"/>
      <c r="J232" s="80"/>
      <c r="K232" s="11"/>
    </row>
    <row r="233" spans="1:11" ht="16.5" customHeight="1">
      <c r="A233" s="13"/>
      <c r="B233" s="459" t="s">
        <v>409</v>
      </c>
      <c r="C233" s="300"/>
      <c r="D233" s="300"/>
      <c r="E233" s="460"/>
      <c r="F233" s="16">
        <v>1</v>
      </c>
      <c r="G233" s="16"/>
      <c r="H233" s="14"/>
      <c r="I233" s="14">
        <f>SUM(I220:I232)</f>
        <v>84343</v>
      </c>
      <c r="J233" s="80" t="s">
        <v>410</v>
      </c>
      <c r="K233" s="11"/>
    </row>
    <row r="234" spans="1:11" ht="16.5" customHeight="1">
      <c r="A234" s="13"/>
      <c r="B234" s="459" t="s">
        <v>411</v>
      </c>
      <c r="C234" s="300"/>
      <c r="D234" s="300"/>
      <c r="E234" s="460"/>
      <c r="F234" s="16">
        <v>1</v>
      </c>
      <c r="G234" s="16"/>
      <c r="H234" s="14"/>
      <c r="I234" s="14">
        <v>40000</v>
      </c>
      <c r="J234" s="80" t="s">
        <v>410</v>
      </c>
      <c r="K234" s="11"/>
    </row>
    <row r="235" spans="1:11" ht="16.5" customHeight="1">
      <c r="A235" s="13"/>
      <c r="B235" s="459" t="s">
        <v>412</v>
      </c>
      <c r="C235" s="300"/>
      <c r="D235" s="300"/>
      <c r="E235" s="460"/>
      <c r="F235" s="16"/>
      <c r="G235" s="16"/>
      <c r="H235" s="14"/>
      <c r="I235" s="14">
        <f>SUM(I233:I234)</f>
        <v>124343</v>
      </c>
      <c r="J235" s="80" t="s">
        <v>410</v>
      </c>
      <c r="K235" s="11"/>
    </row>
    <row r="236" spans="1:11" ht="16.5" customHeight="1">
      <c r="A236" s="13"/>
      <c r="B236" s="459"/>
      <c r="C236" s="300"/>
      <c r="D236" s="300"/>
      <c r="E236" s="460"/>
      <c r="F236" s="16"/>
      <c r="G236" s="16"/>
      <c r="H236" s="14"/>
      <c r="I236" s="14"/>
      <c r="J236" s="80"/>
      <c r="K236" s="11"/>
    </row>
    <row r="237" spans="1:11" ht="16.5" customHeight="1">
      <c r="A237" s="13"/>
      <c r="B237" s="459"/>
      <c r="C237" s="300"/>
      <c r="D237" s="300"/>
      <c r="E237" s="460"/>
      <c r="F237" s="16"/>
      <c r="G237" s="16"/>
      <c r="H237" s="14"/>
      <c r="I237" s="14">
        <v>43520</v>
      </c>
      <c r="J237" s="80" t="s">
        <v>413</v>
      </c>
      <c r="K237" s="11"/>
    </row>
    <row r="238" spans="1:11" ht="16.5" customHeight="1">
      <c r="A238" s="9"/>
      <c r="B238" s="9"/>
      <c r="C238" s="9"/>
      <c r="D238" s="9"/>
      <c r="E238" s="9"/>
      <c r="F238" s="9"/>
      <c r="G238" s="9"/>
      <c r="H238" s="11"/>
      <c r="I238" s="9"/>
      <c r="J238" s="9"/>
      <c r="K238" s="9"/>
    </row>
    <row r="239" spans="1:11" ht="16.5" customHeight="1">
      <c r="A239" s="9"/>
      <c r="B239" s="9"/>
      <c r="C239" s="9"/>
      <c r="D239" s="9"/>
      <c r="E239" s="9"/>
      <c r="F239" s="9"/>
      <c r="G239" s="9"/>
      <c r="H239" s="11"/>
      <c r="I239" s="9"/>
      <c r="J239" s="9"/>
      <c r="K239" s="9"/>
    </row>
    <row r="240" spans="1:11" ht="16.5" customHeight="1">
      <c r="J240" s="67"/>
      <c r="K240" s="67"/>
    </row>
    <row r="241" spans="2:11" ht="16.5" customHeight="1">
      <c r="J241" s="67"/>
      <c r="K241" s="67"/>
    </row>
    <row r="242" spans="2:11" ht="16.5" customHeight="1">
      <c r="J242" s="67"/>
      <c r="K242" s="67"/>
    </row>
    <row r="243" spans="2:11" ht="16.5" customHeight="1">
      <c r="J243" s="67"/>
      <c r="K243" s="67"/>
    </row>
    <row r="244" spans="2:11" ht="16.5" customHeight="1">
      <c r="J244" s="67"/>
      <c r="K244" s="67"/>
    </row>
    <row r="245" spans="2:11" ht="16.5" customHeight="1">
      <c r="J245" s="67"/>
      <c r="K245" s="67"/>
    </row>
    <row r="246" spans="2:11" ht="16.5" customHeight="1">
      <c r="J246" s="67"/>
      <c r="K246" s="67"/>
    </row>
    <row r="247" spans="2:11" ht="16.5" customHeight="1">
      <c r="B247" s="262" t="s">
        <v>401</v>
      </c>
      <c r="C247" s="263"/>
      <c r="D247" s="263"/>
      <c r="E247" s="263"/>
      <c r="F247" s="263"/>
      <c r="G247" s="263"/>
      <c r="H247" s="264"/>
      <c r="I247" s="14"/>
      <c r="J247" s="9"/>
      <c r="K247" s="9"/>
    </row>
    <row r="248" spans="2:11" ht="16.5" customHeight="1">
      <c r="B248" s="459"/>
      <c r="C248" s="300"/>
      <c r="D248" s="300"/>
      <c r="E248" s="460"/>
      <c r="F248" s="63" t="s">
        <v>392</v>
      </c>
      <c r="G248" s="16"/>
      <c r="H248" s="70" t="s">
        <v>398</v>
      </c>
      <c r="I248" s="70" t="s">
        <v>399</v>
      </c>
      <c r="J248" s="80" t="s">
        <v>400</v>
      </c>
      <c r="K248" s="11"/>
    </row>
    <row r="249" spans="2:11" ht="16.5" customHeight="1">
      <c r="B249" s="262" t="s">
        <v>391</v>
      </c>
      <c r="C249" s="263"/>
      <c r="D249" s="263"/>
      <c r="E249" s="264"/>
      <c r="F249" s="16">
        <v>1</v>
      </c>
      <c r="G249" s="16"/>
      <c r="H249" s="14"/>
      <c r="I249" s="14"/>
      <c r="J249" s="80"/>
      <c r="K249" s="11"/>
    </row>
    <row r="250" spans="2:11" ht="16.5" customHeight="1">
      <c r="B250" s="413" t="s">
        <v>182</v>
      </c>
      <c r="C250" s="414"/>
      <c r="D250" s="412" t="s">
        <v>100</v>
      </c>
      <c r="E250" s="412"/>
      <c r="F250" s="16">
        <v>1</v>
      </c>
      <c r="G250" s="16"/>
      <c r="H250" s="14">
        <v>11000</v>
      </c>
      <c r="I250" s="71"/>
      <c r="J250" s="85">
        <v>13500</v>
      </c>
      <c r="K250" s="83"/>
    </row>
    <row r="251" spans="2:11" ht="16.5" customHeight="1">
      <c r="B251" s="307" t="s">
        <v>183</v>
      </c>
      <c r="C251" s="308"/>
      <c r="D251" s="402" t="s">
        <v>205</v>
      </c>
      <c r="E251" s="403"/>
      <c r="F251" s="16">
        <v>1</v>
      </c>
      <c r="G251" s="16"/>
      <c r="H251" s="14">
        <v>8000</v>
      </c>
      <c r="I251" s="71"/>
      <c r="J251" s="85">
        <v>9500</v>
      </c>
      <c r="K251" s="83"/>
    </row>
    <row r="252" spans="2:11" ht="16.5" customHeight="1">
      <c r="B252" s="401" t="s">
        <v>374</v>
      </c>
      <c r="C252" s="308"/>
      <c r="D252" s="402" t="s">
        <v>248</v>
      </c>
      <c r="E252" s="403"/>
      <c r="F252" s="16">
        <v>1</v>
      </c>
      <c r="G252" s="16"/>
      <c r="H252" s="14">
        <v>1000</v>
      </c>
      <c r="I252" s="71"/>
      <c r="J252" s="85">
        <v>1500</v>
      </c>
      <c r="K252" s="83"/>
    </row>
    <row r="253" spans="2:11" ht="16.5" customHeight="1">
      <c r="B253" s="459" t="s">
        <v>393</v>
      </c>
      <c r="C253" s="300"/>
      <c r="D253" s="300"/>
      <c r="E253" s="460"/>
      <c r="F253" s="16">
        <v>1</v>
      </c>
      <c r="G253" s="16"/>
      <c r="H253" s="14">
        <v>200</v>
      </c>
      <c r="I253" s="71"/>
      <c r="J253" s="85">
        <v>300</v>
      </c>
      <c r="K253" s="83"/>
    </row>
    <row r="254" spans="2:11" ht="16.5" customHeight="1">
      <c r="B254" s="464" t="s">
        <v>394</v>
      </c>
      <c r="C254" s="414"/>
      <c r="D254" s="412" t="s">
        <v>209</v>
      </c>
      <c r="E254" s="412"/>
      <c r="F254" s="16">
        <v>1</v>
      </c>
      <c r="G254" s="16"/>
      <c r="H254" s="14">
        <v>1100</v>
      </c>
      <c r="I254" s="71"/>
      <c r="J254" s="85">
        <v>1500</v>
      </c>
      <c r="K254" s="83"/>
    </row>
    <row r="255" spans="2:11" ht="16.5" customHeight="1">
      <c r="B255" s="464" t="s">
        <v>195</v>
      </c>
      <c r="C255" s="414"/>
      <c r="D255" s="412" t="s">
        <v>210</v>
      </c>
      <c r="E255" s="412"/>
      <c r="F255" s="16">
        <v>2</v>
      </c>
      <c r="G255" s="16"/>
      <c r="H255" s="14">
        <v>600</v>
      </c>
      <c r="I255" s="71"/>
      <c r="J255" s="85">
        <v>900</v>
      </c>
      <c r="K255" s="83"/>
    </row>
    <row r="256" spans="2:11" ht="16.5" customHeight="1">
      <c r="B256" s="464" t="s">
        <v>196</v>
      </c>
      <c r="C256" s="414"/>
      <c r="D256" s="402" t="s">
        <v>211</v>
      </c>
      <c r="E256" s="403"/>
      <c r="F256" s="16">
        <v>3</v>
      </c>
      <c r="G256" s="16"/>
      <c r="H256" s="14">
        <v>300</v>
      </c>
      <c r="I256" s="71"/>
      <c r="J256" s="85">
        <v>450</v>
      </c>
      <c r="K256" s="83"/>
    </row>
    <row r="257" spans="2:11" ht="16.5" customHeight="1">
      <c r="B257" s="459" t="s">
        <v>396</v>
      </c>
      <c r="C257" s="300"/>
      <c r="D257" s="300"/>
      <c r="E257" s="460"/>
      <c r="F257" s="5">
        <v>1</v>
      </c>
      <c r="G257" s="16"/>
      <c r="H257" s="14">
        <v>6000</v>
      </c>
      <c r="I257" s="71"/>
      <c r="J257" s="85">
        <v>7500</v>
      </c>
      <c r="K257" s="83"/>
    </row>
    <row r="258" spans="2:11" ht="16.5" customHeight="1">
      <c r="B258" s="459" t="s">
        <v>397</v>
      </c>
      <c r="C258" s="300"/>
      <c r="D258" s="300"/>
      <c r="E258" s="460"/>
      <c r="F258" s="5">
        <v>1</v>
      </c>
      <c r="G258" s="16"/>
      <c r="H258" s="14">
        <v>5000</v>
      </c>
      <c r="I258" s="71"/>
      <c r="J258" s="85">
        <v>5000</v>
      </c>
      <c r="K258" s="83"/>
    </row>
    <row r="259" spans="2:11" ht="16.5" customHeight="1">
      <c r="B259" s="9"/>
      <c r="C259" s="9"/>
      <c r="D259" s="9"/>
      <c r="E259" s="9"/>
      <c r="F259" s="467" t="s">
        <v>395</v>
      </c>
      <c r="G259" s="468"/>
      <c r="H259" s="14">
        <f>SUM(H250:H258)</f>
        <v>33200</v>
      </c>
      <c r="I259" s="71"/>
      <c r="J259" s="85">
        <f>SUM(J250:J258)</f>
        <v>40150</v>
      </c>
      <c r="K259" s="83"/>
    </row>
    <row r="260" spans="2:11" ht="16.5" customHeight="1">
      <c r="J260" s="67"/>
      <c r="K260" s="67"/>
    </row>
    <row r="261" spans="2:11" ht="16.5" customHeight="1">
      <c r="J261" s="67"/>
      <c r="K261" s="67"/>
    </row>
    <row r="262" spans="2:11" ht="16.5" customHeight="1">
      <c r="J262" s="67"/>
      <c r="K262" s="67"/>
    </row>
    <row r="263" spans="2:11" ht="16.5" customHeight="1">
      <c r="J263" s="67"/>
      <c r="K263" s="67"/>
    </row>
    <row r="264" spans="2:11" ht="16.5" customHeight="1">
      <c r="J264" s="67"/>
      <c r="K264" s="67"/>
    </row>
    <row r="265" spans="2:11" ht="16.5" customHeight="1">
      <c r="J265" s="67"/>
      <c r="K265" s="67"/>
    </row>
    <row r="266" spans="2:11" ht="16.5" customHeight="1">
      <c r="J266" s="67"/>
      <c r="K266" s="67"/>
    </row>
    <row r="267" spans="2:11" ht="16.5" customHeight="1">
      <c r="J267" s="67"/>
      <c r="K267" s="67"/>
    </row>
    <row r="268" spans="2:11" ht="16.5" customHeight="1">
      <c r="J268" s="67"/>
      <c r="K268" s="67"/>
    </row>
    <row r="269" spans="2:11" ht="16.5" customHeight="1">
      <c r="J269" s="67"/>
      <c r="K269" s="67"/>
    </row>
    <row r="270" spans="2:11" ht="16.5" customHeight="1">
      <c r="J270" s="67"/>
      <c r="K270" s="67"/>
    </row>
    <row r="271" spans="2:11" ht="16.5" customHeight="1">
      <c r="J271" s="67"/>
      <c r="K271" s="67"/>
    </row>
    <row r="272" spans="2:11" ht="16.5" customHeight="1">
      <c r="J272" s="67"/>
      <c r="K272" s="67"/>
    </row>
    <row r="273" spans="10:11" ht="16.5" customHeight="1">
      <c r="J273" s="67"/>
      <c r="K273" s="67"/>
    </row>
    <row r="274" spans="10:11" ht="16.5" customHeight="1">
      <c r="J274" s="67"/>
      <c r="K274" s="67"/>
    </row>
    <row r="275" spans="10:11" ht="16.5" customHeight="1">
      <c r="J275" s="67"/>
      <c r="K275" s="67"/>
    </row>
    <row r="276" spans="10:11" ht="16.5" customHeight="1">
      <c r="J276" s="67"/>
      <c r="K276" s="67"/>
    </row>
    <row r="277" spans="10:11" ht="16.5" customHeight="1">
      <c r="J277" s="67"/>
      <c r="K277" s="67"/>
    </row>
    <row r="278" spans="10:11" ht="16.5" customHeight="1">
      <c r="J278" s="67"/>
      <c r="K278" s="67"/>
    </row>
    <row r="279" spans="10:11" ht="16.5" customHeight="1">
      <c r="J279" s="67"/>
      <c r="K279" s="67"/>
    </row>
    <row r="280" spans="10:11" ht="16.5" customHeight="1">
      <c r="J280" s="67"/>
      <c r="K280" s="67"/>
    </row>
    <row r="281" spans="10:11" ht="16.5" customHeight="1">
      <c r="J281" s="67"/>
      <c r="K281" s="67"/>
    </row>
    <row r="282" spans="10:11" ht="16.5" customHeight="1">
      <c r="J282" s="67"/>
      <c r="K282" s="67"/>
    </row>
    <row r="283" spans="10:11" ht="16.5" customHeight="1">
      <c r="J283" s="67"/>
      <c r="K283" s="67"/>
    </row>
    <row r="284" spans="10:11" ht="16.5" customHeight="1">
      <c r="J284" s="67"/>
      <c r="K284" s="67"/>
    </row>
    <row r="285" spans="10:11" ht="16.5" customHeight="1">
      <c r="J285" s="67"/>
      <c r="K285" s="67"/>
    </row>
    <row r="286" spans="10:11" ht="16.5" customHeight="1">
      <c r="J286" s="67"/>
      <c r="K286" s="67"/>
    </row>
    <row r="287" spans="10:11" ht="16.5" customHeight="1">
      <c r="J287" s="67"/>
      <c r="K287" s="67"/>
    </row>
    <row r="288" spans="10:11" ht="16.5" customHeight="1">
      <c r="J288" s="67"/>
      <c r="K288" s="67"/>
    </row>
    <row r="289" spans="10:11" ht="16.5" customHeight="1">
      <c r="J289" s="67"/>
      <c r="K289" s="67"/>
    </row>
    <row r="290" spans="10:11" ht="16.5" customHeight="1">
      <c r="J290" s="67"/>
      <c r="K290" s="67"/>
    </row>
    <row r="291" spans="10:11" ht="16.5" customHeight="1">
      <c r="J291" s="67"/>
      <c r="K291" s="67"/>
    </row>
    <row r="292" spans="10:11" ht="16.5" customHeight="1">
      <c r="J292" s="67"/>
      <c r="K292" s="67"/>
    </row>
    <row r="293" spans="10:11" ht="16.5" customHeight="1">
      <c r="J293" s="67"/>
      <c r="K293" s="67"/>
    </row>
    <row r="294" spans="10:11" ht="16.5" customHeight="1">
      <c r="J294" s="67"/>
      <c r="K294" s="67"/>
    </row>
  </sheetData>
  <mergeCells count="722">
    <mergeCell ref="L13:M13"/>
    <mergeCell ref="N13:O13"/>
    <mergeCell ref="L12:M12"/>
    <mergeCell ref="N12:O12"/>
    <mergeCell ref="B98:C98"/>
    <mergeCell ref="D98:E98"/>
    <mergeCell ref="N38:O38"/>
    <mergeCell ref="N37:O37"/>
    <mergeCell ref="B91:C91"/>
    <mergeCell ref="N20:O20"/>
    <mergeCell ref="N18:O18"/>
    <mergeCell ref="N19:O19"/>
    <mergeCell ref="N17:O17"/>
    <mergeCell ref="B32:C32"/>
    <mergeCell ref="D26:E26"/>
    <mergeCell ref="B27:C27"/>
    <mergeCell ref="D27:E27"/>
    <mergeCell ref="B28:C28"/>
    <mergeCell ref="D28:E28"/>
    <mergeCell ref="D23:E23"/>
    <mergeCell ref="D32:E32"/>
    <mergeCell ref="N36:O36"/>
    <mergeCell ref="N35:O35"/>
    <mergeCell ref="N34:O34"/>
    <mergeCell ref="N33:O33"/>
    <mergeCell ref="N32:O32"/>
    <mergeCell ref="N31:O31"/>
    <mergeCell ref="N30:O30"/>
    <mergeCell ref="B18:E18"/>
    <mergeCell ref="F18:G18"/>
    <mergeCell ref="I19:J19"/>
    <mergeCell ref="B20:E20"/>
    <mergeCell ref="B22:C22"/>
    <mergeCell ref="D22:E22"/>
    <mergeCell ref="H18:I18"/>
    <mergeCell ref="N21:O21"/>
    <mergeCell ref="B21:E21"/>
    <mergeCell ref="B25:C25"/>
    <mergeCell ref="L31:M31"/>
    <mergeCell ref="L30:M30"/>
    <mergeCell ref="L29:M29"/>
    <mergeCell ref="L28:M28"/>
    <mergeCell ref="B24:C24"/>
    <mergeCell ref="D24:E24"/>
    <mergeCell ref="A50:J50"/>
    <mergeCell ref="A49:J49"/>
    <mergeCell ref="A45:J45"/>
    <mergeCell ref="A46:J46"/>
    <mergeCell ref="A47:J47"/>
    <mergeCell ref="A48:J48"/>
    <mergeCell ref="F44:G44"/>
    <mergeCell ref="B37:C37"/>
    <mergeCell ref="D37:E37"/>
    <mergeCell ref="B38:C38"/>
    <mergeCell ref="D38:E38"/>
    <mergeCell ref="B39:C39"/>
    <mergeCell ref="D39:E39"/>
    <mergeCell ref="B40:C40"/>
    <mergeCell ref="D40:E40"/>
    <mergeCell ref="B41:C41"/>
    <mergeCell ref="D41:E41"/>
    <mergeCell ref="B42:C42"/>
    <mergeCell ref="D42:E42"/>
    <mergeCell ref="B43:C43"/>
    <mergeCell ref="D43:E43"/>
    <mergeCell ref="B44:C44"/>
    <mergeCell ref="D44:E44"/>
    <mergeCell ref="D91:E91"/>
    <mergeCell ref="Z88:AA88"/>
    <mergeCell ref="AB88:AC88"/>
    <mergeCell ref="Z89:AA89"/>
    <mergeCell ref="B95:C95"/>
    <mergeCell ref="D95:E95"/>
    <mergeCell ref="B96:C96"/>
    <mergeCell ref="D96:E96"/>
    <mergeCell ref="B97:C97"/>
    <mergeCell ref="D97:E97"/>
    <mergeCell ref="D93:E93"/>
    <mergeCell ref="S90:T90"/>
    <mergeCell ref="U89:V89"/>
    <mergeCell ref="U90:V90"/>
    <mergeCell ref="B89:C89"/>
    <mergeCell ref="D89:E89"/>
    <mergeCell ref="D92:E92"/>
    <mergeCell ref="B93:C93"/>
    <mergeCell ref="B94:C94"/>
    <mergeCell ref="D94:E94"/>
    <mergeCell ref="Z94:AF94"/>
    <mergeCell ref="Z91:AA91"/>
    <mergeCell ref="AB91:AC91"/>
    <mergeCell ref="S92:T92"/>
    <mergeCell ref="D83:E83"/>
    <mergeCell ref="Z86:AA86"/>
    <mergeCell ref="AB86:AC86"/>
    <mergeCell ref="S9:T9"/>
    <mergeCell ref="D64:E64"/>
    <mergeCell ref="D65:E65"/>
    <mergeCell ref="D73:E73"/>
    <mergeCell ref="Z81:AA81"/>
    <mergeCell ref="AB81:AC81"/>
    <mergeCell ref="Z82:AA82"/>
    <mergeCell ref="AB82:AC82"/>
    <mergeCell ref="Z83:AA83"/>
    <mergeCell ref="AB83:AC83"/>
    <mergeCell ref="Z84:AA84"/>
    <mergeCell ref="AB84:AC84"/>
    <mergeCell ref="Z85:AA85"/>
    <mergeCell ref="AB85:AC85"/>
    <mergeCell ref="N29:O29"/>
    <mergeCell ref="N28:O28"/>
    <mergeCell ref="N27:O27"/>
    <mergeCell ref="N26:O26"/>
    <mergeCell ref="N25:O25"/>
    <mergeCell ref="N16:O16"/>
    <mergeCell ref="N15:O15"/>
    <mergeCell ref="U92:V92"/>
    <mergeCell ref="Z92:AA92"/>
    <mergeCell ref="AB92:AC92"/>
    <mergeCell ref="S91:T91"/>
    <mergeCell ref="U91:V91"/>
    <mergeCell ref="U93:V93"/>
    <mergeCell ref="AB93:AC93"/>
    <mergeCell ref="Z93:AA93"/>
    <mergeCell ref="AB89:AC89"/>
    <mergeCell ref="Z90:AA90"/>
    <mergeCell ref="AB90:AC90"/>
    <mergeCell ref="Z87:AA87"/>
    <mergeCell ref="AB87:AC87"/>
    <mergeCell ref="AB71:AC71"/>
    <mergeCell ref="Z72:AA72"/>
    <mergeCell ref="AB72:AC72"/>
    <mergeCell ref="Z73:AA73"/>
    <mergeCell ref="AB73:AC73"/>
    <mergeCell ref="Z74:AA74"/>
    <mergeCell ref="AB74:AC74"/>
    <mergeCell ref="Z75:AA75"/>
    <mergeCell ref="AB75:AC75"/>
    <mergeCell ref="Z76:AA76"/>
    <mergeCell ref="AB76:AC76"/>
    <mergeCell ref="Z77:AA77"/>
    <mergeCell ref="AB77:AC77"/>
    <mergeCell ref="Z78:AA78"/>
    <mergeCell ref="AB78:AC78"/>
    <mergeCell ref="Z79:AA79"/>
    <mergeCell ref="AB79:AC79"/>
    <mergeCell ref="Z80:AA80"/>
    <mergeCell ref="AB80:AC80"/>
    <mergeCell ref="B217:E217"/>
    <mergeCell ref="B218:E218"/>
    <mergeCell ref="B214:E214"/>
    <mergeCell ref="B215:E215"/>
    <mergeCell ref="B208:C208"/>
    <mergeCell ref="D208:E208"/>
    <mergeCell ref="B209:C209"/>
    <mergeCell ref="D209:E209"/>
    <mergeCell ref="B210:E210"/>
    <mergeCell ref="B211:E211"/>
    <mergeCell ref="B212:E212"/>
    <mergeCell ref="B213:E213"/>
    <mergeCell ref="B216:E216"/>
    <mergeCell ref="B202:C202"/>
    <mergeCell ref="D202:E202"/>
    <mergeCell ref="B203:E203"/>
    <mergeCell ref="B204:E204"/>
    <mergeCell ref="B205:C205"/>
    <mergeCell ref="D205:E205"/>
    <mergeCell ref="B206:C206"/>
    <mergeCell ref="D206:E206"/>
    <mergeCell ref="B207:C207"/>
    <mergeCell ref="D207:E207"/>
    <mergeCell ref="B181:E181"/>
    <mergeCell ref="B180:E180"/>
    <mergeCell ref="B198:H198"/>
    <mergeCell ref="B199:C199"/>
    <mergeCell ref="D199:E199"/>
    <mergeCell ref="B200:C200"/>
    <mergeCell ref="D200:E200"/>
    <mergeCell ref="B201:C201"/>
    <mergeCell ref="D201:E201"/>
    <mergeCell ref="B187:E187"/>
    <mergeCell ref="B192:E192"/>
    <mergeCell ref="B188:E188"/>
    <mergeCell ref="B189:E189"/>
    <mergeCell ref="B190:E190"/>
    <mergeCell ref="B191:E191"/>
    <mergeCell ref="B182:E182"/>
    <mergeCell ref="B183:E183"/>
    <mergeCell ref="B184:E184"/>
    <mergeCell ref="B258:E258"/>
    <mergeCell ref="F259:G259"/>
    <mergeCell ref="B256:C256"/>
    <mergeCell ref="D256:E256"/>
    <mergeCell ref="B257:E257"/>
    <mergeCell ref="B254:C254"/>
    <mergeCell ref="D254:E254"/>
    <mergeCell ref="B255:C255"/>
    <mergeCell ref="B221:C221"/>
    <mergeCell ref="D221:E221"/>
    <mergeCell ref="B222:C222"/>
    <mergeCell ref="D222:E222"/>
    <mergeCell ref="B224:E224"/>
    <mergeCell ref="B223:C223"/>
    <mergeCell ref="D223:E223"/>
    <mergeCell ref="B225:E225"/>
    <mergeCell ref="B226:C226"/>
    <mergeCell ref="D226:E226"/>
    <mergeCell ref="B237:E237"/>
    <mergeCell ref="B230:C230"/>
    <mergeCell ref="D230:E230"/>
    <mergeCell ref="B233:E233"/>
    <mergeCell ref="B229:C229"/>
    <mergeCell ref="D229:E229"/>
    <mergeCell ref="B165:E165"/>
    <mergeCell ref="H165:I165"/>
    <mergeCell ref="A153:E153"/>
    <mergeCell ref="A155:D155"/>
    <mergeCell ref="B167:E167"/>
    <mergeCell ref="F165:G165"/>
    <mergeCell ref="B227:C227"/>
    <mergeCell ref="D227:E227"/>
    <mergeCell ref="B228:C228"/>
    <mergeCell ref="D228:E228"/>
    <mergeCell ref="B220:C220"/>
    <mergeCell ref="D220:E220"/>
    <mergeCell ref="B219:H219"/>
    <mergeCell ref="B169:C169"/>
    <mergeCell ref="D169:E169"/>
    <mergeCell ref="B170:C170"/>
    <mergeCell ref="D170:E170"/>
    <mergeCell ref="B171:C171"/>
    <mergeCell ref="D171:E171"/>
    <mergeCell ref="B172:C172"/>
    <mergeCell ref="D172:E172"/>
    <mergeCell ref="B175:C175"/>
    <mergeCell ref="D175:E175"/>
    <mergeCell ref="B176:C176"/>
    <mergeCell ref="I166:J166"/>
    <mergeCell ref="B168:H168"/>
    <mergeCell ref="B193:E193"/>
    <mergeCell ref="B247:H247"/>
    <mergeCell ref="B248:E248"/>
    <mergeCell ref="B249:E249"/>
    <mergeCell ref="B253:E253"/>
    <mergeCell ref="B173:E173"/>
    <mergeCell ref="B174:E174"/>
    <mergeCell ref="B231:E231"/>
    <mergeCell ref="B232:E232"/>
    <mergeCell ref="B234:E234"/>
    <mergeCell ref="B235:E235"/>
    <mergeCell ref="B236:E236"/>
    <mergeCell ref="D176:E176"/>
    <mergeCell ref="B177:C177"/>
    <mergeCell ref="D177:E177"/>
    <mergeCell ref="B178:C178"/>
    <mergeCell ref="D178:E178"/>
    <mergeCell ref="B179:C179"/>
    <mergeCell ref="D179:E179"/>
    <mergeCell ref="B197:E197"/>
    <mergeCell ref="B185:E185"/>
    <mergeCell ref="B186:E186"/>
    <mergeCell ref="H7:J7"/>
    <mergeCell ref="A148:J148"/>
    <mergeCell ref="H152:J152"/>
    <mergeCell ref="A152:E152"/>
    <mergeCell ref="H149:I149"/>
    <mergeCell ref="A150:E150"/>
    <mergeCell ref="H150:J150"/>
    <mergeCell ref="A151:E151"/>
    <mergeCell ref="B33:C33"/>
    <mergeCell ref="D33:E33"/>
    <mergeCell ref="B34:C34"/>
    <mergeCell ref="D34:E34"/>
    <mergeCell ref="B35:C35"/>
    <mergeCell ref="D35:E35"/>
    <mergeCell ref="B36:C36"/>
    <mergeCell ref="D36:E36"/>
    <mergeCell ref="B29:C29"/>
    <mergeCell ref="D29:E29"/>
    <mergeCell ref="B30:C30"/>
    <mergeCell ref="D30:E30"/>
    <mergeCell ref="B12:E12"/>
    <mergeCell ref="D82:E82"/>
    <mergeCell ref="B92:C92"/>
    <mergeCell ref="A8:D8"/>
    <mergeCell ref="B159:E159"/>
    <mergeCell ref="B163:E163"/>
    <mergeCell ref="G158:J158"/>
    <mergeCell ref="S45:T45"/>
    <mergeCell ref="S46:T46"/>
    <mergeCell ref="S44:T44"/>
    <mergeCell ref="S26:T26"/>
    <mergeCell ref="S35:T35"/>
    <mergeCell ref="S73:T73"/>
    <mergeCell ref="S93:T93"/>
    <mergeCell ref="B162:E162"/>
    <mergeCell ref="I160:I163"/>
    <mergeCell ref="H155:J155"/>
    <mergeCell ref="B160:E160"/>
    <mergeCell ref="B161:E161"/>
    <mergeCell ref="B158:E158"/>
    <mergeCell ref="S43:T43"/>
    <mergeCell ref="S36:T36"/>
    <mergeCell ref="S32:T32"/>
    <mergeCell ref="S33:T33"/>
    <mergeCell ref="S38:T38"/>
    <mergeCell ref="H154:J154"/>
    <mergeCell ref="H153:I153"/>
    <mergeCell ref="S89:T89"/>
    <mergeCell ref="AB59:AC59"/>
    <mergeCell ref="Z60:AA60"/>
    <mergeCell ref="AB60:AC60"/>
    <mergeCell ref="U44:V44"/>
    <mergeCell ref="AB44:AC44"/>
    <mergeCell ref="AB45:AC45"/>
    <mergeCell ref="S69:T69"/>
    <mergeCell ref="U69:V69"/>
    <mergeCell ref="S62:T62"/>
    <mergeCell ref="U62:V62"/>
    <mergeCell ref="S61:T61"/>
    <mergeCell ref="AB67:AC67"/>
    <mergeCell ref="Z68:AA68"/>
    <mergeCell ref="AB68:AC68"/>
    <mergeCell ref="Z69:AA69"/>
    <mergeCell ref="AB69:AC69"/>
    <mergeCell ref="S59:T59"/>
    <mergeCell ref="U59:V59"/>
    <mergeCell ref="U53:V53"/>
    <mergeCell ref="S54:T54"/>
    <mergeCell ref="U50:V50"/>
    <mergeCell ref="AB61:AC61"/>
    <mergeCell ref="Z63:AA63"/>
    <mergeCell ref="AB63:AC63"/>
    <mergeCell ref="AB62:AC62"/>
    <mergeCell ref="AB66:AC66"/>
    <mergeCell ref="Z67:AA67"/>
    <mergeCell ref="H160:H163"/>
    <mergeCell ref="J160:J163"/>
    <mergeCell ref="H156:J156"/>
    <mergeCell ref="G157:J157"/>
    <mergeCell ref="Z64:AA64"/>
    <mergeCell ref="S70:T70"/>
    <mergeCell ref="U70:V70"/>
    <mergeCell ref="S68:T68"/>
    <mergeCell ref="S81:T81"/>
    <mergeCell ref="S78:T78"/>
    <mergeCell ref="AB70:AC70"/>
    <mergeCell ref="Z62:AA62"/>
    <mergeCell ref="AB64:AC64"/>
    <mergeCell ref="AB65:AC65"/>
    <mergeCell ref="S80:T80"/>
    <mergeCell ref="U80:V80"/>
    <mergeCell ref="U81:V81"/>
    <mergeCell ref="H151:I151"/>
    <mergeCell ref="S88:T88"/>
    <mergeCell ref="U88:V88"/>
    <mergeCell ref="U85:V85"/>
    <mergeCell ref="AB40:AC40"/>
    <mergeCell ref="AB30:AC30"/>
    <mergeCell ref="AB31:AC31"/>
    <mergeCell ref="AB32:AC32"/>
    <mergeCell ref="AB33:AC33"/>
    <mergeCell ref="AB18:AC18"/>
    <mergeCell ref="AB19:AC19"/>
    <mergeCell ref="AB20:AC20"/>
    <mergeCell ref="Z39:AA39"/>
    <mergeCell ref="Z20:AA20"/>
    <mergeCell ref="Z19:AA19"/>
    <mergeCell ref="AB29:AC29"/>
    <mergeCell ref="Z28:AA28"/>
    <mergeCell ref="AB36:AC36"/>
    <mergeCell ref="Z32:AA32"/>
    <mergeCell ref="Z34:AA34"/>
    <mergeCell ref="Z33:AA33"/>
    <mergeCell ref="Z18:AA18"/>
    <mergeCell ref="AB43:AC43"/>
    <mergeCell ref="U47:V47"/>
    <mergeCell ref="AB46:AC46"/>
    <mergeCell ref="AB42:AC42"/>
    <mergeCell ref="U43:V43"/>
    <mergeCell ref="Z21:AA21"/>
    <mergeCell ref="AB23:AC23"/>
    <mergeCell ref="AB21:AC21"/>
    <mergeCell ref="AB39:AC39"/>
    <mergeCell ref="Z22:AA22"/>
    <mergeCell ref="Z23:AA23"/>
    <mergeCell ref="AB27:AC27"/>
    <mergeCell ref="AB25:AC25"/>
    <mergeCell ref="AB24:AC24"/>
    <mergeCell ref="AB22:AC22"/>
    <mergeCell ref="AB26:AC26"/>
    <mergeCell ref="Z43:AA43"/>
    <mergeCell ref="U46:V46"/>
    <mergeCell ref="U35:V35"/>
    <mergeCell ref="U33:V33"/>
    <mergeCell ref="U34:V34"/>
    <mergeCell ref="U32:V32"/>
    <mergeCell ref="Z42:AA42"/>
    <mergeCell ref="Z35:AA35"/>
    <mergeCell ref="Z11:AC11"/>
    <mergeCell ref="S12:T12"/>
    <mergeCell ref="S13:T13"/>
    <mergeCell ref="S14:T14"/>
    <mergeCell ref="Z13:AA13"/>
    <mergeCell ref="Z14:AA14"/>
    <mergeCell ref="S15:T15"/>
    <mergeCell ref="Z15:AA15"/>
    <mergeCell ref="AB13:AC13"/>
    <mergeCell ref="AB14:AC14"/>
    <mergeCell ref="AB15:AC15"/>
    <mergeCell ref="Z12:AA12"/>
    <mergeCell ref="AB12:AC12"/>
    <mergeCell ref="AI34:AJ34"/>
    <mergeCell ref="Z36:AA36"/>
    <mergeCell ref="AI35:AJ35"/>
    <mergeCell ref="AI36:AJ36"/>
    <mergeCell ref="Z30:AA30"/>
    <mergeCell ref="Z31:AA31"/>
    <mergeCell ref="AI12:AJ12"/>
    <mergeCell ref="AI13:AJ13"/>
    <mergeCell ref="AI14:AJ14"/>
    <mergeCell ref="AI15:AJ15"/>
    <mergeCell ref="AI16:AJ16"/>
    <mergeCell ref="AI17:AJ17"/>
    <mergeCell ref="AI18:AJ18"/>
    <mergeCell ref="AI19:AJ19"/>
    <mergeCell ref="AI20:AJ20"/>
    <mergeCell ref="AB16:AC16"/>
    <mergeCell ref="AB17:AC17"/>
    <mergeCell ref="Z16:AA16"/>
    <mergeCell ref="Z17:AA17"/>
    <mergeCell ref="AI30:AJ30"/>
    <mergeCell ref="AI31:AJ31"/>
    <mergeCell ref="AI32:AJ32"/>
    <mergeCell ref="AI33:AJ33"/>
    <mergeCell ref="Z58:AA58"/>
    <mergeCell ref="AB58:AC58"/>
    <mergeCell ref="AI21:AJ21"/>
    <mergeCell ref="AI22:AJ22"/>
    <mergeCell ref="AI23:AJ23"/>
    <mergeCell ref="AI24:AJ24"/>
    <mergeCell ref="AI25:AJ25"/>
    <mergeCell ref="Z24:AA24"/>
    <mergeCell ref="Z25:AA25"/>
    <mergeCell ref="AB41:AC41"/>
    <mergeCell ref="AB38:AC38"/>
    <mergeCell ref="Z41:AA41"/>
    <mergeCell ref="AI29:AJ29"/>
    <mergeCell ref="Z29:AA29"/>
    <mergeCell ref="AI28:AJ28"/>
    <mergeCell ref="AB28:AC28"/>
    <mergeCell ref="Z26:AA26"/>
    <mergeCell ref="Z27:AA27"/>
    <mergeCell ref="AI26:AJ26"/>
    <mergeCell ref="AI27:AJ27"/>
    <mergeCell ref="AI37:AJ37"/>
    <mergeCell ref="AB37:AC37"/>
    <mergeCell ref="AB34:AC34"/>
    <mergeCell ref="AB35:AC35"/>
    <mergeCell ref="Z70:AA70"/>
    <mergeCell ref="Z71:AA71"/>
    <mergeCell ref="S34:T34"/>
    <mergeCell ref="U37:V37"/>
    <mergeCell ref="S39:T39"/>
    <mergeCell ref="U42:V42"/>
    <mergeCell ref="Z37:AA37"/>
    <mergeCell ref="Z38:AA38"/>
    <mergeCell ref="Z40:AA40"/>
    <mergeCell ref="U61:V61"/>
    <mergeCell ref="S60:T60"/>
    <mergeCell ref="U45:V45"/>
    <mergeCell ref="S47:T47"/>
    <mergeCell ref="Z61:AA61"/>
    <mergeCell ref="S58:T58"/>
    <mergeCell ref="U60:V60"/>
    <mergeCell ref="Z57:AC57"/>
    <mergeCell ref="Z45:AA45"/>
    <mergeCell ref="Z48:AF48"/>
    <mergeCell ref="Z46:AA46"/>
    <mergeCell ref="U58:V58"/>
    <mergeCell ref="Z44:AA44"/>
    <mergeCell ref="Z47:AA47"/>
    <mergeCell ref="AB47:AC47"/>
    <mergeCell ref="U78:V78"/>
    <mergeCell ref="S83:T83"/>
    <mergeCell ref="Z59:AA59"/>
    <mergeCell ref="U54:V54"/>
    <mergeCell ref="U51:V51"/>
    <mergeCell ref="S52:T52"/>
    <mergeCell ref="U52:V52"/>
    <mergeCell ref="S51:T51"/>
    <mergeCell ref="U68:V68"/>
    <mergeCell ref="S77:T77"/>
    <mergeCell ref="U77:V77"/>
    <mergeCell ref="S74:T74"/>
    <mergeCell ref="U74:V74"/>
    <mergeCell ref="S75:T75"/>
    <mergeCell ref="U75:V75"/>
    <mergeCell ref="U71:V71"/>
    <mergeCell ref="S72:T72"/>
    <mergeCell ref="U72:V72"/>
    <mergeCell ref="U73:V73"/>
    <mergeCell ref="Z65:AA65"/>
    <mergeCell ref="Z66:AA66"/>
    <mergeCell ref="U76:V76"/>
    <mergeCell ref="S76:T76"/>
    <mergeCell ref="S71:T71"/>
    <mergeCell ref="S87:T87"/>
    <mergeCell ref="U87:V87"/>
    <mergeCell ref="S42:T42"/>
    <mergeCell ref="U83:V83"/>
    <mergeCell ref="S84:T84"/>
    <mergeCell ref="U86:V86"/>
    <mergeCell ref="S86:T86"/>
    <mergeCell ref="S53:T53"/>
    <mergeCell ref="U63:V63"/>
    <mergeCell ref="S64:T64"/>
    <mergeCell ref="S63:T63"/>
    <mergeCell ref="S66:T66"/>
    <mergeCell ref="U66:V66"/>
    <mergeCell ref="S67:T67"/>
    <mergeCell ref="U67:V67"/>
    <mergeCell ref="U64:V64"/>
    <mergeCell ref="S65:T65"/>
    <mergeCell ref="U65:V65"/>
    <mergeCell ref="S82:T82"/>
    <mergeCell ref="U82:V82"/>
    <mergeCell ref="U84:V84"/>
    <mergeCell ref="S85:T85"/>
    <mergeCell ref="S79:T79"/>
    <mergeCell ref="U79:V79"/>
    <mergeCell ref="L14:M14"/>
    <mergeCell ref="L15:M15"/>
    <mergeCell ref="U38:V38"/>
    <mergeCell ref="U40:V40"/>
    <mergeCell ref="S50:T50"/>
    <mergeCell ref="S37:T37"/>
    <mergeCell ref="S40:T40"/>
    <mergeCell ref="U41:V41"/>
    <mergeCell ref="U39:V39"/>
    <mergeCell ref="S41:T41"/>
    <mergeCell ref="U36:V36"/>
    <mergeCell ref="N24:O24"/>
    <mergeCell ref="N47:O47"/>
    <mergeCell ref="N46:O46"/>
    <mergeCell ref="N45:O45"/>
    <mergeCell ref="N44:O44"/>
    <mergeCell ref="N43:O43"/>
    <mergeCell ref="N42:O42"/>
    <mergeCell ref="N41:O41"/>
    <mergeCell ref="N40:O40"/>
    <mergeCell ref="N39:O39"/>
    <mergeCell ref="N14:O14"/>
    <mergeCell ref="N23:O23"/>
    <mergeCell ref="N22:O22"/>
    <mergeCell ref="R10:T10"/>
    <mergeCell ref="U23:V23"/>
    <mergeCell ref="S23:T23"/>
    <mergeCell ref="S29:T29"/>
    <mergeCell ref="S30:T30"/>
    <mergeCell ref="S31:T31"/>
    <mergeCell ref="S28:T28"/>
    <mergeCell ref="U17:V17"/>
    <mergeCell ref="S21:T21"/>
    <mergeCell ref="U21:V21"/>
    <mergeCell ref="U18:V18"/>
    <mergeCell ref="U19:V19"/>
    <mergeCell ref="U13:V13"/>
    <mergeCell ref="U14:V14"/>
    <mergeCell ref="U15:V15"/>
    <mergeCell ref="U12:V12"/>
    <mergeCell ref="S16:T16"/>
    <mergeCell ref="S24:T24"/>
    <mergeCell ref="U20:V20"/>
    <mergeCell ref="S18:T18"/>
    <mergeCell ref="S20:T20"/>
    <mergeCell ref="S19:T19"/>
    <mergeCell ref="U16:V16"/>
    <mergeCell ref="S17:T17"/>
    <mergeCell ref="D255:E255"/>
    <mergeCell ref="B250:C250"/>
    <mergeCell ref="D250:E250"/>
    <mergeCell ref="B251:C251"/>
    <mergeCell ref="D251:E251"/>
    <mergeCell ref="B252:C252"/>
    <mergeCell ref="D252:E252"/>
    <mergeCell ref="S22:T22"/>
    <mergeCell ref="U22:V22"/>
    <mergeCell ref="U24:V24"/>
    <mergeCell ref="U25:V25"/>
    <mergeCell ref="B26:C26"/>
    <mergeCell ref="U31:V31"/>
    <mergeCell ref="S25:T25"/>
    <mergeCell ref="U30:V30"/>
    <mergeCell ref="U27:V27"/>
    <mergeCell ref="U26:V26"/>
    <mergeCell ref="U29:V29"/>
    <mergeCell ref="U28:V28"/>
    <mergeCell ref="S27:T27"/>
    <mergeCell ref="D25:E25"/>
    <mergeCell ref="B23:C23"/>
    <mergeCell ref="B31:C31"/>
    <mergeCell ref="D31:E31"/>
    <mergeCell ref="A1:J1"/>
    <mergeCell ref="H2:I2"/>
    <mergeCell ref="A3:E3"/>
    <mergeCell ref="H3:J3"/>
    <mergeCell ref="A4:E4"/>
    <mergeCell ref="H4:I4"/>
    <mergeCell ref="A5:E5"/>
    <mergeCell ref="H5:J5"/>
    <mergeCell ref="A6:E6"/>
    <mergeCell ref="H6:I6"/>
    <mergeCell ref="H8:J8"/>
    <mergeCell ref="H9:J9"/>
    <mergeCell ref="G10:J10"/>
    <mergeCell ref="B11:E11"/>
    <mergeCell ref="G11:J11"/>
    <mergeCell ref="B13:E13"/>
    <mergeCell ref="H13:H16"/>
    <mergeCell ref="I13:I16"/>
    <mergeCell ref="J13:J16"/>
    <mergeCell ref="B14:E14"/>
    <mergeCell ref="B15:E15"/>
    <mergeCell ref="B16:E16"/>
    <mergeCell ref="D86:E86"/>
    <mergeCell ref="B87:C87"/>
    <mergeCell ref="D87:E87"/>
    <mergeCell ref="B88:C88"/>
    <mergeCell ref="D88:E88"/>
    <mergeCell ref="B74:C74"/>
    <mergeCell ref="B83:C83"/>
    <mergeCell ref="A52:J52"/>
    <mergeCell ref="B54:E54"/>
    <mergeCell ref="B55:E55"/>
    <mergeCell ref="B66:C66"/>
    <mergeCell ref="D66:E66"/>
    <mergeCell ref="B67:C67"/>
    <mergeCell ref="D67:E67"/>
    <mergeCell ref="B68:C68"/>
    <mergeCell ref="D68:E68"/>
    <mergeCell ref="B56:C56"/>
    <mergeCell ref="D56:E56"/>
    <mergeCell ref="B57:C57"/>
    <mergeCell ref="D57:E57"/>
    <mergeCell ref="B58:C58"/>
    <mergeCell ref="D58:E58"/>
    <mergeCell ref="B59:C59"/>
    <mergeCell ref="D59:E59"/>
    <mergeCell ref="B60:C60"/>
    <mergeCell ref="D60:E60"/>
    <mergeCell ref="D81:E81"/>
    <mergeCell ref="B71:C71"/>
    <mergeCell ref="D71:E71"/>
    <mergeCell ref="B72:C72"/>
    <mergeCell ref="D72:E72"/>
    <mergeCell ref="B73:C73"/>
    <mergeCell ref="D74:E74"/>
    <mergeCell ref="B75:C75"/>
    <mergeCell ref="D75:E75"/>
    <mergeCell ref="B76:C76"/>
    <mergeCell ref="D76:E76"/>
    <mergeCell ref="B77:C77"/>
    <mergeCell ref="D77:E77"/>
    <mergeCell ref="B78:C78"/>
    <mergeCell ref="D78:E78"/>
    <mergeCell ref="B81:C81"/>
    <mergeCell ref="B86:C86"/>
    <mergeCell ref="B90:C90"/>
    <mergeCell ref="D90:E90"/>
    <mergeCell ref="B64:C64"/>
    <mergeCell ref="B65:C65"/>
    <mergeCell ref="B82:C82"/>
    <mergeCell ref="B61:C61"/>
    <mergeCell ref="D61:E61"/>
    <mergeCell ref="B62:C62"/>
    <mergeCell ref="D62:E62"/>
    <mergeCell ref="B63:C63"/>
    <mergeCell ref="D63:E63"/>
    <mergeCell ref="B84:C84"/>
    <mergeCell ref="D84:E84"/>
    <mergeCell ref="B69:C69"/>
    <mergeCell ref="D69:E69"/>
    <mergeCell ref="B70:C70"/>
    <mergeCell ref="D70:E70"/>
    <mergeCell ref="B85:C85"/>
    <mergeCell ref="D85:E85"/>
    <mergeCell ref="B79:C79"/>
    <mergeCell ref="D79:E79"/>
    <mergeCell ref="B80:C80"/>
    <mergeCell ref="D80:E80"/>
    <mergeCell ref="L16:M16"/>
    <mergeCell ref="L17:M17"/>
    <mergeCell ref="L18:M18"/>
    <mergeCell ref="L19:M19"/>
    <mergeCell ref="L24:M24"/>
    <mergeCell ref="L23:M23"/>
    <mergeCell ref="L22:M22"/>
    <mergeCell ref="L21:M21"/>
    <mergeCell ref="L20:M20"/>
    <mergeCell ref="L51:M51"/>
    <mergeCell ref="L50:M50"/>
    <mergeCell ref="L49:M49"/>
    <mergeCell ref="L27:M27"/>
    <mergeCell ref="L26:M26"/>
    <mergeCell ref="L25:M25"/>
    <mergeCell ref="L48:M48"/>
    <mergeCell ref="L47:M47"/>
    <mergeCell ref="L46:M46"/>
    <mergeCell ref="L45:M45"/>
    <mergeCell ref="L44:M44"/>
    <mergeCell ref="L43:M43"/>
    <mergeCell ref="L42:M42"/>
    <mergeCell ref="L41:M41"/>
    <mergeCell ref="L40:M40"/>
    <mergeCell ref="L39:M39"/>
    <mergeCell ref="L38:M38"/>
    <mergeCell ref="L37:M37"/>
    <mergeCell ref="L35:M35"/>
    <mergeCell ref="L36:M36"/>
    <mergeCell ref="L34:M34"/>
    <mergeCell ref="L33:M33"/>
    <mergeCell ref="L32:M32"/>
  </mergeCells>
  <phoneticPr fontId="1"/>
  <pageMargins left="0.70866141732283472" right="0.70866141732283472" top="0.74803149606299213" bottom="0.74803149606299213" header="0.31496062992125984" footer="0.31496062992125984"/>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CF94D-FE63-47BC-B7C1-7F12667F5810}">
  <dimension ref="A1:AF129"/>
  <sheetViews>
    <sheetView workbookViewId="0">
      <selection activeCell="B1" sqref="B1"/>
    </sheetView>
  </sheetViews>
  <sheetFormatPr defaultColWidth="4.625" defaultRowHeight="13.5"/>
  <cols>
    <col min="1" max="1" width="10.375" customWidth="1"/>
    <col min="2" max="2" width="20.75" customWidth="1"/>
    <col min="3" max="3" width="4.25" customWidth="1"/>
    <col min="4" max="4" width="4.375" customWidth="1"/>
    <col min="5" max="5" width="3.375" customWidth="1"/>
    <col min="6" max="6" width="2.25" customWidth="1"/>
    <col min="7" max="7" width="2.75" customWidth="1"/>
    <col min="8" max="8" width="3" customWidth="1"/>
    <col min="9" max="9" width="4" customWidth="1"/>
    <col min="10" max="10" width="6.75" customWidth="1"/>
    <col min="11" max="11" width="12.25" customWidth="1"/>
    <col min="12" max="12" width="11.875" customWidth="1"/>
    <col min="13" max="13" width="9.125" customWidth="1"/>
    <col min="14" max="15" width="16.125" customWidth="1"/>
    <col min="16" max="17" width="7.75" customWidth="1"/>
    <col min="18" max="18" width="7.25" customWidth="1"/>
    <col min="19" max="22" width="8" customWidth="1"/>
    <col min="23" max="25" width="7.75" customWidth="1"/>
    <col min="26" max="29" width="8" customWidth="1"/>
    <col min="30" max="32" width="7.75" customWidth="1"/>
    <col min="247" max="247" width="10.375" customWidth="1"/>
    <col min="248" max="248" width="20.75" customWidth="1"/>
    <col min="249" max="249" width="4.25" customWidth="1"/>
    <col min="250" max="250" width="4.375" customWidth="1"/>
    <col min="251" max="251" width="3.375" customWidth="1"/>
    <col min="252" max="252" width="2.25" customWidth="1"/>
    <col min="253" max="253" width="2.75" customWidth="1"/>
    <col min="254" max="254" width="3" customWidth="1"/>
    <col min="255" max="255" width="4" customWidth="1"/>
    <col min="256" max="256" width="6.75" customWidth="1"/>
    <col min="257" max="257" width="12.25" customWidth="1"/>
    <col min="258" max="258" width="11.875" customWidth="1"/>
    <col min="259" max="259" width="4.375" customWidth="1"/>
    <col min="260" max="260" width="4" customWidth="1"/>
    <col min="261" max="261" width="3.625" customWidth="1"/>
    <col min="262" max="262" width="20.125" customWidth="1"/>
    <col min="263" max="263" width="17.875" customWidth="1"/>
    <col min="264" max="264" width="1" customWidth="1"/>
    <col min="265" max="265" width="15.125" customWidth="1"/>
    <col min="266" max="266" width="18.125" customWidth="1"/>
    <col min="503" max="503" width="10.375" customWidth="1"/>
    <col min="504" max="504" width="20.75" customWidth="1"/>
    <col min="505" max="505" width="4.25" customWidth="1"/>
    <col min="506" max="506" width="4.375" customWidth="1"/>
    <col min="507" max="507" width="3.375" customWidth="1"/>
    <col min="508" max="508" width="2.25" customWidth="1"/>
    <col min="509" max="509" width="2.75" customWidth="1"/>
    <col min="510" max="510" width="3" customWidth="1"/>
    <col min="511" max="511" width="4" customWidth="1"/>
    <col min="512" max="512" width="6.75" customWidth="1"/>
    <col min="513" max="513" width="12.25" customWidth="1"/>
    <col min="514" max="514" width="11.875" customWidth="1"/>
    <col min="515" max="515" width="4.375" customWidth="1"/>
    <col min="516" max="516" width="4" customWidth="1"/>
    <col min="517" max="517" width="3.625" customWidth="1"/>
    <col min="518" max="518" width="20.125" customWidth="1"/>
    <col min="519" max="519" width="17.875" customWidth="1"/>
    <col min="520" max="520" width="1" customWidth="1"/>
    <col min="521" max="521" width="15.125" customWidth="1"/>
    <col min="522" max="522" width="18.125" customWidth="1"/>
    <col min="759" max="759" width="10.375" customWidth="1"/>
    <col min="760" max="760" width="20.75" customWidth="1"/>
    <col min="761" max="761" width="4.25" customWidth="1"/>
    <col min="762" max="762" width="4.375" customWidth="1"/>
    <col min="763" max="763" width="3.375" customWidth="1"/>
    <col min="764" max="764" width="2.25" customWidth="1"/>
    <col min="765" max="765" width="2.75" customWidth="1"/>
    <col min="766" max="766" width="3" customWidth="1"/>
    <col min="767" max="767" width="4" customWidth="1"/>
    <col min="768" max="768" width="6.75" customWidth="1"/>
    <col min="769" max="769" width="12.25" customWidth="1"/>
    <col min="770" max="770" width="11.875" customWidth="1"/>
    <col min="771" max="771" width="4.375" customWidth="1"/>
    <col min="772" max="772" width="4" customWidth="1"/>
    <col min="773" max="773" width="3.625" customWidth="1"/>
    <col min="774" max="774" width="20.125" customWidth="1"/>
    <col min="775" max="775" width="17.875" customWidth="1"/>
    <col min="776" max="776" width="1" customWidth="1"/>
    <col min="777" max="777" width="15.125" customWidth="1"/>
    <col min="778" max="778" width="18.125" customWidth="1"/>
    <col min="1015" max="1015" width="10.375" customWidth="1"/>
    <col min="1016" max="1016" width="20.75" customWidth="1"/>
    <col min="1017" max="1017" width="4.25" customWidth="1"/>
    <col min="1018" max="1018" width="4.375" customWidth="1"/>
    <col min="1019" max="1019" width="3.375" customWidth="1"/>
    <col min="1020" max="1020" width="2.25" customWidth="1"/>
    <col min="1021" max="1021" width="2.75" customWidth="1"/>
    <col min="1022" max="1022" width="3" customWidth="1"/>
    <col min="1023" max="1023" width="4" customWidth="1"/>
    <col min="1024" max="1024" width="6.75" customWidth="1"/>
    <col min="1025" max="1025" width="12.25" customWidth="1"/>
    <col min="1026" max="1026" width="11.875" customWidth="1"/>
    <col min="1027" max="1027" width="4.375" customWidth="1"/>
    <col min="1028" max="1028" width="4" customWidth="1"/>
    <col min="1029" max="1029" width="3.625" customWidth="1"/>
    <col min="1030" max="1030" width="20.125" customWidth="1"/>
    <col min="1031" max="1031" width="17.875" customWidth="1"/>
    <col min="1032" max="1032" width="1" customWidth="1"/>
    <col min="1033" max="1033" width="15.125" customWidth="1"/>
    <col min="1034" max="1034" width="18.125" customWidth="1"/>
    <col min="1271" max="1271" width="10.375" customWidth="1"/>
    <col min="1272" max="1272" width="20.75" customWidth="1"/>
    <col min="1273" max="1273" width="4.25" customWidth="1"/>
    <col min="1274" max="1274" width="4.375" customWidth="1"/>
    <col min="1275" max="1275" width="3.375" customWidth="1"/>
    <col min="1276" max="1276" width="2.25" customWidth="1"/>
    <col min="1277" max="1277" width="2.75" customWidth="1"/>
    <col min="1278" max="1278" width="3" customWidth="1"/>
    <col min="1279" max="1279" width="4" customWidth="1"/>
    <col min="1280" max="1280" width="6.75" customWidth="1"/>
    <col min="1281" max="1281" width="12.25" customWidth="1"/>
    <col min="1282" max="1282" width="11.875" customWidth="1"/>
    <col min="1283" max="1283" width="4.375" customWidth="1"/>
    <col min="1284" max="1284" width="4" customWidth="1"/>
    <col min="1285" max="1285" width="3.625" customWidth="1"/>
    <col min="1286" max="1286" width="20.125" customWidth="1"/>
    <col min="1287" max="1287" width="17.875" customWidth="1"/>
    <col min="1288" max="1288" width="1" customWidth="1"/>
    <col min="1289" max="1289" width="15.125" customWidth="1"/>
    <col min="1290" max="1290" width="18.125" customWidth="1"/>
    <col min="1527" max="1527" width="10.375" customWidth="1"/>
    <col min="1528" max="1528" width="20.75" customWidth="1"/>
    <col min="1529" max="1529" width="4.25" customWidth="1"/>
    <col min="1530" max="1530" width="4.375" customWidth="1"/>
    <col min="1531" max="1531" width="3.375" customWidth="1"/>
    <col min="1532" max="1532" width="2.25" customWidth="1"/>
    <col min="1533" max="1533" width="2.75" customWidth="1"/>
    <col min="1534" max="1534" width="3" customWidth="1"/>
    <col min="1535" max="1535" width="4" customWidth="1"/>
    <col min="1536" max="1536" width="6.75" customWidth="1"/>
    <col min="1537" max="1537" width="12.25" customWidth="1"/>
    <col min="1538" max="1538" width="11.875" customWidth="1"/>
    <col min="1539" max="1539" width="4.375" customWidth="1"/>
    <col min="1540" max="1540" width="4" customWidth="1"/>
    <col min="1541" max="1541" width="3.625" customWidth="1"/>
    <col min="1542" max="1542" width="20.125" customWidth="1"/>
    <col min="1543" max="1543" width="17.875" customWidth="1"/>
    <col min="1544" max="1544" width="1" customWidth="1"/>
    <col min="1545" max="1545" width="15.125" customWidth="1"/>
    <col min="1546" max="1546" width="18.125" customWidth="1"/>
    <col min="1783" max="1783" width="10.375" customWidth="1"/>
    <col min="1784" max="1784" width="20.75" customWidth="1"/>
    <col min="1785" max="1785" width="4.25" customWidth="1"/>
    <col min="1786" max="1786" width="4.375" customWidth="1"/>
    <col min="1787" max="1787" width="3.375" customWidth="1"/>
    <col min="1788" max="1788" width="2.25" customWidth="1"/>
    <col min="1789" max="1789" width="2.75" customWidth="1"/>
    <col min="1790" max="1790" width="3" customWidth="1"/>
    <col min="1791" max="1791" width="4" customWidth="1"/>
    <col min="1792" max="1792" width="6.75" customWidth="1"/>
    <col min="1793" max="1793" width="12.25" customWidth="1"/>
    <col min="1794" max="1794" width="11.875" customWidth="1"/>
    <col min="1795" max="1795" width="4.375" customWidth="1"/>
    <col min="1796" max="1796" width="4" customWidth="1"/>
    <col min="1797" max="1797" width="3.625" customWidth="1"/>
    <col min="1798" max="1798" width="20.125" customWidth="1"/>
    <col min="1799" max="1799" width="17.875" customWidth="1"/>
    <col min="1800" max="1800" width="1" customWidth="1"/>
    <col min="1801" max="1801" width="15.125" customWidth="1"/>
    <col min="1802" max="1802" width="18.125" customWidth="1"/>
    <col min="2039" max="2039" width="10.375" customWidth="1"/>
    <col min="2040" max="2040" width="20.75" customWidth="1"/>
    <col min="2041" max="2041" width="4.25" customWidth="1"/>
    <col min="2042" max="2042" width="4.375" customWidth="1"/>
    <col min="2043" max="2043" width="3.375" customWidth="1"/>
    <col min="2044" max="2044" width="2.25" customWidth="1"/>
    <col min="2045" max="2045" width="2.75" customWidth="1"/>
    <col min="2046" max="2046" width="3" customWidth="1"/>
    <col min="2047" max="2047" width="4" customWidth="1"/>
    <col min="2048" max="2048" width="6.75" customWidth="1"/>
    <col min="2049" max="2049" width="12.25" customWidth="1"/>
    <col min="2050" max="2050" width="11.875" customWidth="1"/>
    <col min="2051" max="2051" width="4.375" customWidth="1"/>
    <col min="2052" max="2052" width="4" customWidth="1"/>
    <col min="2053" max="2053" width="3.625" customWidth="1"/>
    <col min="2054" max="2054" width="20.125" customWidth="1"/>
    <col min="2055" max="2055" width="17.875" customWidth="1"/>
    <col min="2056" max="2056" width="1" customWidth="1"/>
    <col min="2057" max="2057" width="15.125" customWidth="1"/>
    <col min="2058" max="2058" width="18.125" customWidth="1"/>
    <col min="2295" max="2295" width="10.375" customWidth="1"/>
    <col min="2296" max="2296" width="20.75" customWidth="1"/>
    <col min="2297" max="2297" width="4.25" customWidth="1"/>
    <col min="2298" max="2298" width="4.375" customWidth="1"/>
    <col min="2299" max="2299" width="3.375" customWidth="1"/>
    <col min="2300" max="2300" width="2.25" customWidth="1"/>
    <col min="2301" max="2301" width="2.75" customWidth="1"/>
    <col min="2302" max="2302" width="3" customWidth="1"/>
    <col min="2303" max="2303" width="4" customWidth="1"/>
    <col min="2304" max="2304" width="6.75" customWidth="1"/>
    <col min="2305" max="2305" width="12.25" customWidth="1"/>
    <col min="2306" max="2306" width="11.875" customWidth="1"/>
    <col min="2307" max="2307" width="4.375" customWidth="1"/>
    <col min="2308" max="2308" width="4" customWidth="1"/>
    <col min="2309" max="2309" width="3.625" customWidth="1"/>
    <col min="2310" max="2310" width="20.125" customWidth="1"/>
    <col min="2311" max="2311" width="17.875" customWidth="1"/>
    <col min="2312" max="2312" width="1" customWidth="1"/>
    <col min="2313" max="2313" width="15.125" customWidth="1"/>
    <col min="2314" max="2314" width="18.125" customWidth="1"/>
    <col min="2551" max="2551" width="10.375" customWidth="1"/>
    <col min="2552" max="2552" width="20.75" customWidth="1"/>
    <col min="2553" max="2553" width="4.25" customWidth="1"/>
    <col min="2554" max="2554" width="4.375" customWidth="1"/>
    <col min="2555" max="2555" width="3.375" customWidth="1"/>
    <col min="2556" max="2556" width="2.25" customWidth="1"/>
    <col min="2557" max="2557" width="2.75" customWidth="1"/>
    <col min="2558" max="2558" width="3" customWidth="1"/>
    <col min="2559" max="2559" width="4" customWidth="1"/>
    <col min="2560" max="2560" width="6.75" customWidth="1"/>
    <col min="2561" max="2561" width="12.25" customWidth="1"/>
    <col min="2562" max="2562" width="11.875" customWidth="1"/>
    <col min="2563" max="2563" width="4.375" customWidth="1"/>
    <col min="2564" max="2564" width="4" customWidth="1"/>
    <col min="2565" max="2565" width="3.625" customWidth="1"/>
    <col min="2566" max="2566" width="20.125" customWidth="1"/>
    <col min="2567" max="2567" width="17.875" customWidth="1"/>
    <col min="2568" max="2568" width="1" customWidth="1"/>
    <col min="2569" max="2569" width="15.125" customWidth="1"/>
    <col min="2570" max="2570" width="18.125" customWidth="1"/>
    <col min="2807" max="2807" width="10.375" customWidth="1"/>
    <col min="2808" max="2808" width="20.75" customWidth="1"/>
    <col min="2809" max="2809" width="4.25" customWidth="1"/>
    <col min="2810" max="2810" width="4.375" customWidth="1"/>
    <col min="2811" max="2811" width="3.375" customWidth="1"/>
    <col min="2812" max="2812" width="2.25" customWidth="1"/>
    <col min="2813" max="2813" width="2.75" customWidth="1"/>
    <col min="2814" max="2814" width="3" customWidth="1"/>
    <col min="2815" max="2815" width="4" customWidth="1"/>
    <col min="2816" max="2816" width="6.75" customWidth="1"/>
    <col min="2817" max="2817" width="12.25" customWidth="1"/>
    <col min="2818" max="2818" width="11.875" customWidth="1"/>
    <col min="2819" max="2819" width="4.375" customWidth="1"/>
    <col min="2820" max="2820" width="4" customWidth="1"/>
    <col min="2821" max="2821" width="3.625" customWidth="1"/>
    <col min="2822" max="2822" width="20.125" customWidth="1"/>
    <col min="2823" max="2823" width="17.875" customWidth="1"/>
    <col min="2824" max="2824" width="1" customWidth="1"/>
    <col min="2825" max="2825" width="15.125" customWidth="1"/>
    <col min="2826" max="2826" width="18.125" customWidth="1"/>
    <col min="3063" max="3063" width="10.375" customWidth="1"/>
    <col min="3064" max="3064" width="20.75" customWidth="1"/>
    <col min="3065" max="3065" width="4.25" customWidth="1"/>
    <col min="3066" max="3066" width="4.375" customWidth="1"/>
    <col min="3067" max="3067" width="3.375" customWidth="1"/>
    <col min="3068" max="3068" width="2.25" customWidth="1"/>
    <col min="3069" max="3069" width="2.75" customWidth="1"/>
    <col min="3070" max="3070" width="3" customWidth="1"/>
    <col min="3071" max="3071" width="4" customWidth="1"/>
    <col min="3072" max="3072" width="6.75" customWidth="1"/>
    <col min="3073" max="3073" width="12.25" customWidth="1"/>
    <col min="3074" max="3074" width="11.875" customWidth="1"/>
    <col min="3075" max="3075" width="4.375" customWidth="1"/>
    <col min="3076" max="3076" width="4" customWidth="1"/>
    <col min="3077" max="3077" width="3.625" customWidth="1"/>
    <col min="3078" max="3078" width="20.125" customWidth="1"/>
    <col min="3079" max="3079" width="17.875" customWidth="1"/>
    <col min="3080" max="3080" width="1" customWidth="1"/>
    <col min="3081" max="3081" width="15.125" customWidth="1"/>
    <col min="3082" max="3082" width="18.125" customWidth="1"/>
    <col min="3319" max="3319" width="10.375" customWidth="1"/>
    <col min="3320" max="3320" width="20.75" customWidth="1"/>
    <col min="3321" max="3321" width="4.25" customWidth="1"/>
    <col min="3322" max="3322" width="4.375" customWidth="1"/>
    <col min="3323" max="3323" width="3.375" customWidth="1"/>
    <col min="3324" max="3324" width="2.25" customWidth="1"/>
    <col min="3325" max="3325" width="2.75" customWidth="1"/>
    <col min="3326" max="3326" width="3" customWidth="1"/>
    <col min="3327" max="3327" width="4" customWidth="1"/>
    <col min="3328" max="3328" width="6.75" customWidth="1"/>
    <col min="3329" max="3329" width="12.25" customWidth="1"/>
    <col min="3330" max="3330" width="11.875" customWidth="1"/>
    <col min="3331" max="3331" width="4.375" customWidth="1"/>
    <col min="3332" max="3332" width="4" customWidth="1"/>
    <col min="3333" max="3333" width="3.625" customWidth="1"/>
    <col min="3334" max="3334" width="20.125" customWidth="1"/>
    <col min="3335" max="3335" width="17.875" customWidth="1"/>
    <col min="3336" max="3336" width="1" customWidth="1"/>
    <col min="3337" max="3337" width="15.125" customWidth="1"/>
    <col min="3338" max="3338" width="18.125" customWidth="1"/>
    <col min="3575" max="3575" width="10.375" customWidth="1"/>
    <col min="3576" max="3576" width="20.75" customWidth="1"/>
    <col min="3577" max="3577" width="4.25" customWidth="1"/>
    <col min="3578" max="3578" width="4.375" customWidth="1"/>
    <col min="3579" max="3579" width="3.375" customWidth="1"/>
    <col min="3580" max="3580" width="2.25" customWidth="1"/>
    <col min="3581" max="3581" width="2.75" customWidth="1"/>
    <col min="3582" max="3582" width="3" customWidth="1"/>
    <col min="3583" max="3583" width="4" customWidth="1"/>
    <col min="3584" max="3584" width="6.75" customWidth="1"/>
    <col min="3585" max="3585" width="12.25" customWidth="1"/>
    <col min="3586" max="3586" width="11.875" customWidth="1"/>
    <col min="3587" max="3587" width="4.375" customWidth="1"/>
    <col min="3588" max="3588" width="4" customWidth="1"/>
    <col min="3589" max="3589" width="3.625" customWidth="1"/>
    <col min="3590" max="3590" width="20.125" customWidth="1"/>
    <col min="3591" max="3591" width="17.875" customWidth="1"/>
    <col min="3592" max="3592" width="1" customWidth="1"/>
    <col min="3593" max="3593" width="15.125" customWidth="1"/>
    <col min="3594" max="3594" width="18.125" customWidth="1"/>
    <col min="3831" max="3831" width="10.375" customWidth="1"/>
    <col min="3832" max="3832" width="20.75" customWidth="1"/>
    <col min="3833" max="3833" width="4.25" customWidth="1"/>
    <col min="3834" max="3834" width="4.375" customWidth="1"/>
    <col min="3835" max="3835" width="3.375" customWidth="1"/>
    <col min="3836" max="3836" width="2.25" customWidth="1"/>
    <col min="3837" max="3837" width="2.75" customWidth="1"/>
    <col min="3838" max="3838" width="3" customWidth="1"/>
    <col min="3839" max="3839" width="4" customWidth="1"/>
    <col min="3840" max="3840" width="6.75" customWidth="1"/>
    <col min="3841" max="3841" width="12.25" customWidth="1"/>
    <col min="3842" max="3842" width="11.875" customWidth="1"/>
    <col min="3843" max="3843" width="4.375" customWidth="1"/>
    <col min="3844" max="3844" width="4" customWidth="1"/>
    <col min="3845" max="3845" width="3.625" customWidth="1"/>
    <col min="3846" max="3846" width="20.125" customWidth="1"/>
    <col min="3847" max="3847" width="17.875" customWidth="1"/>
    <col min="3848" max="3848" width="1" customWidth="1"/>
    <col min="3849" max="3849" width="15.125" customWidth="1"/>
    <col min="3850" max="3850" width="18.125" customWidth="1"/>
    <col min="4087" max="4087" width="10.375" customWidth="1"/>
    <col min="4088" max="4088" width="20.75" customWidth="1"/>
    <col min="4089" max="4089" width="4.25" customWidth="1"/>
    <col min="4090" max="4090" width="4.375" customWidth="1"/>
    <col min="4091" max="4091" width="3.375" customWidth="1"/>
    <col min="4092" max="4092" width="2.25" customWidth="1"/>
    <col min="4093" max="4093" width="2.75" customWidth="1"/>
    <col min="4094" max="4094" width="3" customWidth="1"/>
    <col min="4095" max="4095" width="4" customWidth="1"/>
    <col min="4096" max="4096" width="6.75" customWidth="1"/>
    <col min="4097" max="4097" width="12.25" customWidth="1"/>
    <col min="4098" max="4098" width="11.875" customWidth="1"/>
    <col min="4099" max="4099" width="4.375" customWidth="1"/>
    <col min="4100" max="4100" width="4" customWidth="1"/>
    <col min="4101" max="4101" width="3.625" customWidth="1"/>
    <col min="4102" max="4102" width="20.125" customWidth="1"/>
    <col min="4103" max="4103" width="17.875" customWidth="1"/>
    <col min="4104" max="4104" width="1" customWidth="1"/>
    <col min="4105" max="4105" width="15.125" customWidth="1"/>
    <col min="4106" max="4106" width="18.125" customWidth="1"/>
    <col min="4343" max="4343" width="10.375" customWidth="1"/>
    <col min="4344" max="4344" width="20.75" customWidth="1"/>
    <col min="4345" max="4345" width="4.25" customWidth="1"/>
    <col min="4346" max="4346" width="4.375" customWidth="1"/>
    <col min="4347" max="4347" width="3.375" customWidth="1"/>
    <col min="4348" max="4348" width="2.25" customWidth="1"/>
    <col min="4349" max="4349" width="2.75" customWidth="1"/>
    <col min="4350" max="4350" width="3" customWidth="1"/>
    <col min="4351" max="4351" width="4" customWidth="1"/>
    <col min="4352" max="4352" width="6.75" customWidth="1"/>
    <col min="4353" max="4353" width="12.25" customWidth="1"/>
    <col min="4354" max="4354" width="11.875" customWidth="1"/>
    <col min="4355" max="4355" width="4.375" customWidth="1"/>
    <col min="4356" max="4356" width="4" customWidth="1"/>
    <col min="4357" max="4357" width="3.625" customWidth="1"/>
    <col min="4358" max="4358" width="20.125" customWidth="1"/>
    <col min="4359" max="4359" width="17.875" customWidth="1"/>
    <col min="4360" max="4360" width="1" customWidth="1"/>
    <col min="4361" max="4361" width="15.125" customWidth="1"/>
    <col min="4362" max="4362" width="18.125" customWidth="1"/>
    <col min="4599" max="4599" width="10.375" customWidth="1"/>
    <col min="4600" max="4600" width="20.75" customWidth="1"/>
    <col min="4601" max="4601" width="4.25" customWidth="1"/>
    <col min="4602" max="4602" width="4.375" customWidth="1"/>
    <col min="4603" max="4603" width="3.375" customWidth="1"/>
    <col min="4604" max="4604" width="2.25" customWidth="1"/>
    <col min="4605" max="4605" width="2.75" customWidth="1"/>
    <col min="4606" max="4606" width="3" customWidth="1"/>
    <col min="4607" max="4607" width="4" customWidth="1"/>
    <col min="4608" max="4608" width="6.75" customWidth="1"/>
    <col min="4609" max="4609" width="12.25" customWidth="1"/>
    <col min="4610" max="4610" width="11.875" customWidth="1"/>
    <col min="4611" max="4611" width="4.375" customWidth="1"/>
    <col min="4612" max="4612" width="4" customWidth="1"/>
    <col min="4613" max="4613" width="3.625" customWidth="1"/>
    <col min="4614" max="4614" width="20.125" customWidth="1"/>
    <col min="4615" max="4615" width="17.875" customWidth="1"/>
    <col min="4616" max="4616" width="1" customWidth="1"/>
    <col min="4617" max="4617" width="15.125" customWidth="1"/>
    <col min="4618" max="4618" width="18.125" customWidth="1"/>
    <col min="4855" max="4855" width="10.375" customWidth="1"/>
    <col min="4856" max="4856" width="20.75" customWidth="1"/>
    <col min="4857" max="4857" width="4.25" customWidth="1"/>
    <col min="4858" max="4858" width="4.375" customWidth="1"/>
    <col min="4859" max="4859" width="3.375" customWidth="1"/>
    <col min="4860" max="4860" width="2.25" customWidth="1"/>
    <col min="4861" max="4861" width="2.75" customWidth="1"/>
    <col min="4862" max="4862" width="3" customWidth="1"/>
    <col min="4863" max="4863" width="4" customWidth="1"/>
    <col min="4864" max="4864" width="6.75" customWidth="1"/>
    <col min="4865" max="4865" width="12.25" customWidth="1"/>
    <col min="4866" max="4866" width="11.875" customWidth="1"/>
    <col min="4867" max="4867" width="4.375" customWidth="1"/>
    <col min="4868" max="4868" width="4" customWidth="1"/>
    <col min="4869" max="4869" width="3.625" customWidth="1"/>
    <col min="4870" max="4870" width="20.125" customWidth="1"/>
    <col min="4871" max="4871" width="17.875" customWidth="1"/>
    <col min="4872" max="4872" width="1" customWidth="1"/>
    <col min="4873" max="4873" width="15.125" customWidth="1"/>
    <col min="4874" max="4874" width="18.125" customWidth="1"/>
    <col min="5111" max="5111" width="10.375" customWidth="1"/>
    <col min="5112" max="5112" width="20.75" customWidth="1"/>
    <col min="5113" max="5113" width="4.25" customWidth="1"/>
    <col min="5114" max="5114" width="4.375" customWidth="1"/>
    <col min="5115" max="5115" width="3.375" customWidth="1"/>
    <col min="5116" max="5116" width="2.25" customWidth="1"/>
    <col min="5117" max="5117" width="2.75" customWidth="1"/>
    <col min="5118" max="5118" width="3" customWidth="1"/>
    <col min="5119" max="5119" width="4" customWidth="1"/>
    <col min="5120" max="5120" width="6.75" customWidth="1"/>
    <col min="5121" max="5121" width="12.25" customWidth="1"/>
    <col min="5122" max="5122" width="11.875" customWidth="1"/>
    <col min="5123" max="5123" width="4.375" customWidth="1"/>
    <col min="5124" max="5124" width="4" customWidth="1"/>
    <col min="5125" max="5125" width="3.625" customWidth="1"/>
    <col min="5126" max="5126" width="20.125" customWidth="1"/>
    <col min="5127" max="5127" width="17.875" customWidth="1"/>
    <col min="5128" max="5128" width="1" customWidth="1"/>
    <col min="5129" max="5129" width="15.125" customWidth="1"/>
    <col min="5130" max="5130" width="18.125" customWidth="1"/>
    <col min="5367" max="5367" width="10.375" customWidth="1"/>
    <col min="5368" max="5368" width="20.75" customWidth="1"/>
    <col min="5369" max="5369" width="4.25" customWidth="1"/>
    <col min="5370" max="5370" width="4.375" customWidth="1"/>
    <col min="5371" max="5371" width="3.375" customWidth="1"/>
    <col min="5372" max="5372" width="2.25" customWidth="1"/>
    <col min="5373" max="5373" width="2.75" customWidth="1"/>
    <col min="5374" max="5374" width="3" customWidth="1"/>
    <col min="5375" max="5375" width="4" customWidth="1"/>
    <col min="5376" max="5376" width="6.75" customWidth="1"/>
    <col min="5377" max="5377" width="12.25" customWidth="1"/>
    <col min="5378" max="5378" width="11.875" customWidth="1"/>
    <col min="5379" max="5379" width="4.375" customWidth="1"/>
    <col min="5380" max="5380" width="4" customWidth="1"/>
    <col min="5381" max="5381" width="3.625" customWidth="1"/>
    <col min="5382" max="5382" width="20.125" customWidth="1"/>
    <col min="5383" max="5383" width="17.875" customWidth="1"/>
    <col min="5384" max="5384" width="1" customWidth="1"/>
    <col min="5385" max="5385" width="15.125" customWidth="1"/>
    <col min="5386" max="5386" width="18.125" customWidth="1"/>
    <col min="5623" max="5623" width="10.375" customWidth="1"/>
    <col min="5624" max="5624" width="20.75" customWidth="1"/>
    <col min="5625" max="5625" width="4.25" customWidth="1"/>
    <col min="5626" max="5626" width="4.375" customWidth="1"/>
    <col min="5627" max="5627" width="3.375" customWidth="1"/>
    <col min="5628" max="5628" width="2.25" customWidth="1"/>
    <col min="5629" max="5629" width="2.75" customWidth="1"/>
    <col min="5630" max="5630" width="3" customWidth="1"/>
    <col min="5631" max="5631" width="4" customWidth="1"/>
    <col min="5632" max="5632" width="6.75" customWidth="1"/>
    <col min="5633" max="5633" width="12.25" customWidth="1"/>
    <col min="5634" max="5634" width="11.875" customWidth="1"/>
    <col min="5635" max="5635" width="4.375" customWidth="1"/>
    <col min="5636" max="5636" width="4" customWidth="1"/>
    <col min="5637" max="5637" width="3.625" customWidth="1"/>
    <col min="5638" max="5638" width="20.125" customWidth="1"/>
    <col min="5639" max="5639" width="17.875" customWidth="1"/>
    <col min="5640" max="5640" width="1" customWidth="1"/>
    <col min="5641" max="5641" width="15.125" customWidth="1"/>
    <col min="5642" max="5642" width="18.125" customWidth="1"/>
    <col min="5879" max="5879" width="10.375" customWidth="1"/>
    <col min="5880" max="5880" width="20.75" customWidth="1"/>
    <col min="5881" max="5881" width="4.25" customWidth="1"/>
    <col min="5882" max="5882" width="4.375" customWidth="1"/>
    <col min="5883" max="5883" width="3.375" customWidth="1"/>
    <col min="5884" max="5884" width="2.25" customWidth="1"/>
    <col min="5885" max="5885" width="2.75" customWidth="1"/>
    <col min="5886" max="5886" width="3" customWidth="1"/>
    <col min="5887" max="5887" width="4" customWidth="1"/>
    <col min="5888" max="5888" width="6.75" customWidth="1"/>
    <col min="5889" max="5889" width="12.25" customWidth="1"/>
    <col min="5890" max="5890" width="11.875" customWidth="1"/>
    <col min="5891" max="5891" width="4.375" customWidth="1"/>
    <col min="5892" max="5892" width="4" customWidth="1"/>
    <col min="5893" max="5893" width="3.625" customWidth="1"/>
    <col min="5894" max="5894" width="20.125" customWidth="1"/>
    <col min="5895" max="5895" width="17.875" customWidth="1"/>
    <col min="5896" max="5896" width="1" customWidth="1"/>
    <col min="5897" max="5897" width="15.125" customWidth="1"/>
    <col min="5898" max="5898" width="18.125" customWidth="1"/>
    <col min="6135" max="6135" width="10.375" customWidth="1"/>
    <col min="6136" max="6136" width="20.75" customWidth="1"/>
    <col min="6137" max="6137" width="4.25" customWidth="1"/>
    <col min="6138" max="6138" width="4.375" customWidth="1"/>
    <col min="6139" max="6139" width="3.375" customWidth="1"/>
    <col min="6140" max="6140" width="2.25" customWidth="1"/>
    <col min="6141" max="6141" width="2.75" customWidth="1"/>
    <col min="6142" max="6142" width="3" customWidth="1"/>
    <col min="6143" max="6143" width="4" customWidth="1"/>
    <col min="6144" max="6144" width="6.75" customWidth="1"/>
    <col min="6145" max="6145" width="12.25" customWidth="1"/>
    <col min="6146" max="6146" width="11.875" customWidth="1"/>
    <col min="6147" max="6147" width="4.375" customWidth="1"/>
    <col min="6148" max="6148" width="4" customWidth="1"/>
    <col min="6149" max="6149" width="3.625" customWidth="1"/>
    <col min="6150" max="6150" width="20.125" customWidth="1"/>
    <col min="6151" max="6151" width="17.875" customWidth="1"/>
    <col min="6152" max="6152" width="1" customWidth="1"/>
    <col min="6153" max="6153" width="15.125" customWidth="1"/>
    <col min="6154" max="6154" width="18.125" customWidth="1"/>
    <col min="6391" max="6391" width="10.375" customWidth="1"/>
    <col min="6392" max="6392" width="20.75" customWidth="1"/>
    <col min="6393" max="6393" width="4.25" customWidth="1"/>
    <col min="6394" max="6394" width="4.375" customWidth="1"/>
    <col min="6395" max="6395" width="3.375" customWidth="1"/>
    <col min="6396" max="6396" width="2.25" customWidth="1"/>
    <col min="6397" max="6397" width="2.75" customWidth="1"/>
    <col min="6398" max="6398" width="3" customWidth="1"/>
    <col min="6399" max="6399" width="4" customWidth="1"/>
    <col min="6400" max="6400" width="6.75" customWidth="1"/>
    <col min="6401" max="6401" width="12.25" customWidth="1"/>
    <col min="6402" max="6402" width="11.875" customWidth="1"/>
    <col min="6403" max="6403" width="4.375" customWidth="1"/>
    <col min="6404" max="6404" width="4" customWidth="1"/>
    <col min="6405" max="6405" width="3.625" customWidth="1"/>
    <col min="6406" max="6406" width="20.125" customWidth="1"/>
    <col min="6407" max="6407" width="17.875" customWidth="1"/>
    <col min="6408" max="6408" width="1" customWidth="1"/>
    <col min="6409" max="6409" width="15.125" customWidth="1"/>
    <col min="6410" max="6410" width="18.125" customWidth="1"/>
    <col min="6647" max="6647" width="10.375" customWidth="1"/>
    <col min="6648" max="6648" width="20.75" customWidth="1"/>
    <col min="6649" max="6649" width="4.25" customWidth="1"/>
    <col min="6650" max="6650" width="4.375" customWidth="1"/>
    <col min="6651" max="6651" width="3.375" customWidth="1"/>
    <col min="6652" max="6652" width="2.25" customWidth="1"/>
    <col min="6653" max="6653" width="2.75" customWidth="1"/>
    <col min="6654" max="6654" width="3" customWidth="1"/>
    <col min="6655" max="6655" width="4" customWidth="1"/>
    <col min="6656" max="6656" width="6.75" customWidth="1"/>
    <col min="6657" max="6657" width="12.25" customWidth="1"/>
    <col min="6658" max="6658" width="11.875" customWidth="1"/>
    <col min="6659" max="6659" width="4.375" customWidth="1"/>
    <col min="6660" max="6660" width="4" customWidth="1"/>
    <col min="6661" max="6661" width="3.625" customWidth="1"/>
    <col min="6662" max="6662" width="20.125" customWidth="1"/>
    <col min="6663" max="6663" width="17.875" customWidth="1"/>
    <col min="6664" max="6664" width="1" customWidth="1"/>
    <col min="6665" max="6665" width="15.125" customWidth="1"/>
    <col min="6666" max="6666" width="18.125" customWidth="1"/>
    <col min="6903" max="6903" width="10.375" customWidth="1"/>
    <col min="6904" max="6904" width="20.75" customWidth="1"/>
    <col min="6905" max="6905" width="4.25" customWidth="1"/>
    <col min="6906" max="6906" width="4.375" customWidth="1"/>
    <col min="6907" max="6907" width="3.375" customWidth="1"/>
    <col min="6908" max="6908" width="2.25" customWidth="1"/>
    <col min="6909" max="6909" width="2.75" customWidth="1"/>
    <col min="6910" max="6910" width="3" customWidth="1"/>
    <col min="6911" max="6911" width="4" customWidth="1"/>
    <col min="6912" max="6912" width="6.75" customWidth="1"/>
    <col min="6913" max="6913" width="12.25" customWidth="1"/>
    <col min="6914" max="6914" width="11.875" customWidth="1"/>
    <col min="6915" max="6915" width="4.375" customWidth="1"/>
    <col min="6916" max="6916" width="4" customWidth="1"/>
    <col min="6917" max="6917" width="3.625" customWidth="1"/>
    <col min="6918" max="6918" width="20.125" customWidth="1"/>
    <col min="6919" max="6919" width="17.875" customWidth="1"/>
    <col min="6920" max="6920" width="1" customWidth="1"/>
    <col min="6921" max="6921" width="15.125" customWidth="1"/>
    <col min="6922" max="6922" width="18.125" customWidth="1"/>
    <col min="7159" max="7159" width="10.375" customWidth="1"/>
    <col min="7160" max="7160" width="20.75" customWidth="1"/>
    <col min="7161" max="7161" width="4.25" customWidth="1"/>
    <col min="7162" max="7162" width="4.375" customWidth="1"/>
    <col min="7163" max="7163" width="3.375" customWidth="1"/>
    <col min="7164" max="7164" width="2.25" customWidth="1"/>
    <col min="7165" max="7165" width="2.75" customWidth="1"/>
    <col min="7166" max="7166" width="3" customWidth="1"/>
    <col min="7167" max="7167" width="4" customWidth="1"/>
    <col min="7168" max="7168" width="6.75" customWidth="1"/>
    <col min="7169" max="7169" width="12.25" customWidth="1"/>
    <col min="7170" max="7170" width="11.875" customWidth="1"/>
    <col min="7171" max="7171" width="4.375" customWidth="1"/>
    <col min="7172" max="7172" width="4" customWidth="1"/>
    <col min="7173" max="7173" width="3.625" customWidth="1"/>
    <col min="7174" max="7174" width="20.125" customWidth="1"/>
    <col min="7175" max="7175" width="17.875" customWidth="1"/>
    <col min="7176" max="7176" width="1" customWidth="1"/>
    <col min="7177" max="7177" width="15.125" customWidth="1"/>
    <col min="7178" max="7178" width="18.125" customWidth="1"/>
    <col min="7415" max="7415" width="10.375" customWidth="1"/>
    <col min="7416" max="7416" width="20.75" customWidth="1"/>
    <col min="7417" max="7417" width="4.25" customWidth="1"/>
    <col min="7418" max="7418" width="4.375" customWidth="1"/>
    <col min="7419" max="7419" width="3.375" customWidth="1"/>
    <col min="7420" max="7420" width="2.25" customWidth="1"/>
    <col min="7421" max="7421" width="2.75" customWidth="1"/>
    <col min="7422" max="7422" width="3" customWidth="1"/>
    <col min="7423" max="7423" width="4" customWidth="1"/>
    <col min="7424" max="7424" width="6.75" customWidth="1"/>
    <col min="7425" max="7425" width="12.25" customWidth="1"/>
    <col min="7426" max="7426" width="11.875" customWidth="1"/>
    <col min="7427" max="7427" width="4.375" customWidth="1"/>
    <col min="7428" max="7428" width="4" customWidth="1"/>
    <col min="7429" max="7429" width="3.625" customWidth="1"/>
    <col min="7430" max="7430" width="20.125" customWidth="1"/>
    <col min="7431" max="7431" width="17.875" customWidth="1"/>
    <col min="7432" max="7432" width="1" customWidth="1"/>
    <col min="7433" max="7433" width="15.125" customWidth="1"/>
    <col min="7434" max="7434" width="18.125" customWidth="1"/>
    <col min="7671" max="7671" width="10.375" customWidth="1"/>
    <col min="7672" max="7672" width="20.75" customWidth="1"/>
    <col min="7673" max="7673" width="4.25" customWidth="1"/>
    <col min="7674" max="7674" width="4.375" customWidth="1"/>
    <col min="7675" max="7675" width="3.375" customWidth="1"/>
    <col min="7676" max="7676" width="2.25" customWidth="1"/>
    <col min="7677" max="7677" width="2.75" customWidth="1"/>
    <col min="7678" max="7678" width="3" customWidth="1"/>
    <col min="7679" max="7679" width="4" customWidth="1"/>
    <col min="7680" max="7680" width="6.75" customWidth="1"/>
    <col min="7681" max="7681" width="12.25" customWidth="1"/>
    <col min="7682" max="7682" width="11.875" customWidth="1"/>
    <col min="7683" max="7683" width="4.375" customWidth="1"/>
    <col min="7684" max="7684" width="4" customWidth="1"/>
    <col min="7685" max="7685" width="3.625" customWidth="1"/>
    <col min="7686" max="7686" width="20.125" customWidth="1"/>
    <col min="7687" max="7687" width="17.875" customWidth="1"/>
    <col min="7688" max="7688" width="1" customWidth="1"/>
    <col min="7689" max="7689" width="15.125" customWidth="1"/>
    <col min="7690" max="7690" width="18.125" customWidth="1"/>
    <col min="7927" max="7927" width="10.375" customWidth="1"/>
    <col min="7928" max="7928" width="20.75" customWidth="1"/>
    <col min="7929" max="7929" width="4.25" customWidth="1"/>
    <col min="7930" max="7930" width="4.375" customWidth="1"/>
    <col min="7931" max="7931" width="3.375" customWidth="1"/>
    <col min="7932" max="7932" width="2.25" customWidth="1"/>
    <col min="7933" max="7933" width="2.75" customWidth="1"/>
    <col min="7934" max="7934" width="3" customWidth="1"/>
    <col min="7935" max="7935" width="4" customWidth="1"/>
    <col min="7936" max="7936" width="6.75" customWidth="1"/>
    <col min="7937" max="7937" width="12.25" customWidth="1"/>
    <col min="7938" max="7938" width="11.875" customWidth="1"/>
    <col min="7939" max="7939" width="4.375" customWidth="1"/>
    <col min="7940" max="7940" width="4" customWidth="1"/>
    <col min="7941" max="7941" width="3.625" customWidth="1"/>
    <col min="7942" max="7942" width="20.125" customWidth="1"/>
    <col min="7943" max="7943" width="17.875" customWidth="1"/>
    <col min="7944" max="7944" width="1" customWidth="1"/>
    <col min="7945" max="7945" width="15.125" customWidth="1"/>
    <col min="7946" max="7946" width="18.125" customWidth="1"/>
    <col min="8183" max="8183" width="10.375" customWidth="1"/>
    <col min="8184" max="8184" width="20.75" customWidth="1"/>
    <col min="8185" max="8185" width="4.25" customWidth="1"/>
    <col min="8186" max="8186" width="4.375" customWidth="1"/>
    <col min="8187" max="8187" width="3.375" customWidth="1"/>
    <col min="8188" max="8188" width="2.25" customWidth="1"/>
    <col min="8189" max="8189" width="2.75" customWidth="1"/>
    <col min="8190" max="8190" width="3" customWidth="1"/>
    <col min="8191" max="8191" width="4" customWidth="1"/>
    <col min="8192" max="8192" width="6.75" customWidth="1"/>
    <col min="8193" max="8193" width="12.25" customWidth="1"/>
    <col min="8194" max="8194" width="11.875" customWidth="1"/>
    <col min="8195" max="8195" width="4.375" customWidth="1"/>
    <col min="8196" max="8196" width="4" customWidth="1"/>
    <col min="8197" max="8197" width="3.625" customWidth="1"/>
    <col min="8198" max="8198" width="20.125" customWidth="1"/>
    <col min="8199" max="8199" width="17.875" customWidth="1"/>
    <col min="8200" max="8200" width="1" customWidth="1"/>
    <col min="8201" max="8201" width="15.125" customWidth="1"/>
    <col min="8202" max="8202" width="18.125" customWidth="1"/>
    <col min="8439" max="8439" width="10.375" customWidth="1"/>
    <col min="8440" max="8440" width="20.75" customWidth="1"/>
    <col min="8441" max="8441" width="4.25" customWidth="1"/>
    <col min="8442" max="8442" width="4.375" customWidth="1"/>
    <col min="8443" max="8443" width="3.375" customWidth="1"/>
    <col min="8444" max="8444" width="2.25" customWidth="1"/>
    <col min="8445" max="8445" width="2.75" customWidth="1"/>
    <col min="8446" max="8446" width="3" customWidth="1"/>
    <col min="8447" max="8447" width="4" customWidth="1"/>
    <col min="8448" max="8448" width="6.75" customWidth="1"/>
    <col min="8449" max="8449" width="12.25" customWidth="1"/>
    <col min="8450" max="8450" width="11.875" customWidth="1"/>
    <col min="8451" max="8451" width="4.375" customWidth="1"/>
    <col min="8452" max="8452" width="4" customWidth="1"/>
    <col min="8453" max="8453" width="3.625" customWidth="1"/>
    <col min="8454" max="8454" width="20.125" customWidth="1"/>
    <col min="8455" max="8455" width="17.875" customWidth="1"/>
    <col min="8456" max="8456" width="1" customWidth="1"/>
    <col min="8457" max="8457" width="15.125" customWidth="1"/>
    <col min="8458" max="8458" width="18.125" customWidth="1"/>
    <col min="8695" max="8695" width="10.375" customWidth="1"/>
    <col min="8696" max="8696" width="20.75" customWidth="1"/>
    <col min="8697" max="8697" width="4.25" customWidth="1"/>
    <col min="8698" max="8698" width="4.375" customWidth="1"/>
    <col min="8699" max="8699" width="3.375" customWidth="1"/>
    <col min="8700" max="8700" width="2.25" customWidth="1"/>
    <col min="8701" max="8701" width="2.75" customWidth="1"/>
    <col min="8702" max="8702" width="3" customWidth="1"/>
    <col min="8703" max="8703" width="4" customWidth="1"/>
    <col min="8704" max="8704" width="6.75" customWidth="1"/>
    <col min="8705" max="8705" width="12.25" customWidth="1"/>
    <col min="8706" max="8706" width="11.875" customWidth="1"/>
    <col min="8707" max="8707" width="4.375" customWidth="1"/>
    <col min="8708" max="8708" width="4" customWidth="1"/>
    <col min="8709" max="8709" width="3.625" customWidth="1"/>
    <col min="8710" max="8710" width="20.125" customWidth="1"/>
    <col min="8711" max="8711" width="17.875" customWidth="1"/>
    <col min="8712" max="8712" width="1" customWidth="1"/>
    <col min="8713" max="8713" width="15.125" customWidth="1"/>
    <col min="8714" max="8714" width="18.125" customWidth="1"/>
    <col min="8951" max="8951" width="10.375" customWidth="1"/>
    <col min="8952" max="8952" width="20.75" customWidth="1"/>
    <col min="8953" max="8953" width="4.25" customWidth="1"/>
    <col min="8954" max="8954" width="4.375" customWidth="1"/>
    <col min="8955" max="8955" width="3.375" customWidth="1"/>
    <col min="8956" max="8956" width="2.25" customWidth="1"/>
    <col min="8957" max="8957" width="2.75" customWidth="1"/>
    <col min="8958" max="8958" width="3" customWidth="1"/>
    <col min="8959" max="8959" width="4" customWidth="1"/>
    <col min="8960" max="8960" width="6.75" customWidth="1"/>
    <col min="8961" max="8961" width="12.25" customWidth="1"/>
    <col min="8962" max="8962" width="11.875" customWidth="1"/>
    <col min="8963" max="8963" width="4.375" customWidth="1"/>
    <col min="8964" max="8964" width="4" customWidth="1"/>
    <col min="8965" max="8965" width="3.625" customWidth="1"/>
    <col min="8966" max="8966" width="20.125" customWidth="1"/>
    <col min="8967" max="8967" width="17.875" customWidth="1"/>
    <col min="8968" max="8968" width="1" customWidth="1"/>
    <col min="8969" max="8969" width="15.125" customWidth="1"/>
    <col min="8970" max="8970" width="18.125" customWidth="1"/>
    <col min="9207" max="9207" width="10.375" customWidth="1"/>
    <col min="9208" max="9208" width="20.75" customWidth="1"/>
    <col min="9209" max="9209" width="4.25" customWidth="1"/>
    <col min="9210" max="9210" width="4.375" customWidth="1"/>
    <col min="9211" max="9211" width="3.375" customWidth="1"/>
    <col min="9212" max="9212" width="2.25" customWidth="1"/>
    <col min="9213" max="9213" width="2.75" customWidth="1"/>
    <col min="9214" max="9214" width="3" customWidth="1"/>
    <col min="9215" max="9215" width="4" customWidth="1"/>
    <col min="9216" max="9216" width="6.75" customWidth="1"/>
    <col min="9217" max="9217" width="12.25" customWidth="1"/>
    <col min="9218" max="9218" width="11.875" customWidth="1"/>
    <col min="9219" max="9219" width="4.375" customWidth="1"/>
    <col min="9220" max="9220" width="4" customWidth="1"/>
    <col min="9221" max="9221" width="3.625" customWidth="1"/>
    <col min="9222" max="9222" width="20.125" customWidth="1"/>
    <col min="9223" max="9223" width="17.875" customWidth="1"/>
    <col min="9224" max="9224" width="1" customWidth="1"/>
    <col min="9225" max="9225" width="15.125" customWidth="1"/>
    <col min="9226" max="9226" width="18.125" customWidth="1"/>
    <col min="9463" max="9463" width="10.375" customWidth="1"/>
    <col min="9464" max="9464" width="20.75" customWidth="1"/>
    <col min="9465" max="9465" width="4.25" customWidth="1"/>
    <col min="9466" max="9466" width="4.375" customWidth="1"/>
    <col min="9467" max="9467" width="3.375" customWidth="1"/>
    <col min="9468" max="9468" width="2.25" customWidth="1"/>
    <col min="9469" max="9469" width="2.75" customWidth="1"/>
    <col min="9470" max="9470" width="3" customWidth="1"/>
    <col min="9471" max="9471" width="4" customWidth="1"/>
    <col min="9472" max="9472" width="6.75" customWidth="1"/>
    <col min="9473" max="9473" width="12.25" customWidth="1"/>
    <col min="9474" max="9474" width="11.875" customWidth="1"/>
    <col min="9475" max="9475" width="4.375" customWidth="1"/>
    <col min="9476" max="9476" width="4" customWidth="1"/>
    <col min="9477" max="9477" width="3.625" customWidth="1"/>
    <col min="9478" max="9478" width="20.125" customWidth="1"/>
    <col min="9479" max="9479" width="17.875" customWidth="1"/>
    <col min="9480" max="9480" width="1" customWidth="1"/>
    <col min="9481" max="9481" width="15.125" customWidth="1"/>
    <col min="9482" max="9482" width="18.125" customWidth="1"/>
    <col min="9719" max="9719" width="10.375" customWidth="1"/>
    <col min="9720" max="9720" width="20.75" customWidth="1"/>
    <col min="9721" max="9721" width="4.25" customWidth="1"/>
    <col min="9722" max="9722" width="4.375" customWidth="1"/>
    <col min="9723" max="9723" width="3.375" customWidth="1"/>
    <col min="9724" max="9724" width="2.25" customWidth="1"/>
    <col min="9725" max="9725" width="2.75" customWidth="1"/>
    <col min="9726" max="9726" width="3" customWidth="1"/>
    <col min="9727" max="9727" width="4" customWidth="1"/>
    <col min="9728" max="9728" width="6.75" customWidth="1"/>
    <col min="9729" max="9729" width="12.25" customWidth="1"/>
    <col min="9730" max="9730" width="11.875" customWidth="1"/>
    <col min="9731" max="9731" width="4.375" customWidth="1"/>
    <col min="9732" max="9732" width="4" customWidth="1"/>
    <col min="9733" max="9733" width="3.625" customWidth="1"/>
    <col min="9734" max="9734" width="20.125" customWidth="1"/>
    <col min="9735" max="9735" width="17.875" customWidth="1"/>
    <col min="9736" max="9736" width="1" customWidth="1"/>
    <col min="9737" max="9737" width="15.125" customWidth="1"/>
    <col min="9738" max="9738" width="18.125" customWidth="1"/>
    <col min="9975" max="9975" width="10.375" customWidth="1"/>
    <col min="9976" max="9976" width="20.75" customWidth="1"/>
    <col min="9977" max="9977" width="4.25" customWidth="1"/>
    <col min="9978" max="9978" width="4.375" customWidth="1"/>
    <col min="9979" max="9979" width="3.375" customWidth="1"/>
    <col min="9980" max="9980" width="2.25" customWidth="1"/>
    <col min="9981" max="9981" width="2.75" customWidth="1"/>
    <col min="9982" max="9982" width="3" customWidth="1"/>
    <col min="9983" max="9983" width="4" customWidth="1"/>
    <col min="9984" max="9984" width="6.75" customWidth="1"/>
    <col min="9985" max="9985" width="12.25" customWidth="1"/>
    <col min="9986" max="9986" width="11.875" customWidth="1"/>
    <col min="9987" max="9987" width="4.375" customWidth="1"/>
    <col min="9988" max="9988" width="4" customWidth="1"/>
    <col min="9989" max="9989" width="3.625" customWidth="1"/>
    <col min="9990" max="9990" width="20.125" customWidth="1"/>
    <col min="9991" max="9991" width="17.875" customWidth="1"/>
    <col min="9992" max="9992" width="1" customWidth="1"/>
    <col min="9993" max="9993" width="15.125" customWidth="1"/>
    <col min="9994" max="9994" width="18.125" customWidth="1"/>
    <col min="10231" max="10231" width="10.375" customWidth="1"/>
    <col min="10232" max="10232" width="20.75" customWidth="1"/>
    <col min="10233" max="10233" width="4.25" customWidth="1"/>
    <col min="10234" max="10234" width="4.375" customWidth="1"/>
    <col min="10235" max="10235" width="3.375" customWidth="1"/>
    <col min="10236" max="10236" width="2.25" customWidth="1"/>
    <col min="10237" max="10237" width="2.75" customWidth="1"/>
    <col min="10238" max="10238" width="3" customWidth="1"/>
    <col min="10239" max="10239" width="4" customWidth="1"/>
    <col min="10240" max="10240" width="6.75" customWidth="1"/>
    <col min="10241" max="10241" width="12.25" customWidth="1"/>
    <col min="10242" max="10242" width="11.875" customWidth="1"/>
    <col min="10243" max="10243" width="4.375" customWidth="1"/>
    <col min="10244" max="10244" width="4" customWidth="1"/>
    <col min="10245" max="10245" width="3.625" customWidth="1"/>
    <col min="10246" max="10246" width="20.125" customWidth="1"/>
    <col min="10247" max="10247" width="17.875" customWidth="1"/>
    <col min="10248" max="10248" width="1" customWidth="1"/>
    <col min="10249" max="10249" width="15.125" customWidth="1"/>
    <col min="10250" max="10250" width="18.125" customWidth="1"/>
    <col min="10487" max="10487" width="10.375" customWidth="1"/>
    <col min="10488" max="10488" width="20.75" customWidth="1"/>
    <col min="10489" max="10489" width="4.25" customWidth="1"/>
    <col min="10490" max="10490" width="4.375" customWidth="1"/>
    <col min="10491" max="10491" width="3.375" customWidth="1"/>
    <col min="10492" max="10492" width="2.25" customWidth="1"/>
    <col min="10493" max="10493" width="2.75" customWidth="1"/>
    <col min="10494" max="10494" width="3" customWidth="1"/>
    <col min="10495" max="10495" width="4" customWidth="1"/>
    <col min="10496" max="10496" width="6.75" customWidth="1"/>
    <col min="10497" max="10497" width="12.25" customWidth="1"/>
    <col min="10498" max="10498" width="11.875" customWidth="1"/>
    <col min="10499" max="10499" width="4.375" customWidth="1"/>
    <col min="10500" max="10500" width="4" customWidth="1"/>
    <col min="10501" max="10501" width="3.625" customWidth="1"/>
    <col min="10502" max="10502" width="20.125" customWidth="1"/>
    <col min="10503" max="10503" width="17.875" customWidth="1"/>
    <col min="10504" max="10504" width="1" customWidth="1"/>
    <col min="10505" max="10505" width="15.125" customWidth="1"/>
    <col min="10506" max="10506" width="18.125" customWidth="1"/>
    <col min="10743" max="10743" width="10.375" customWidth="1"/>
    <col min="10744" max="10744" width="20.75" customWidth="1"/>
    <col min="10745" max="10745" width="4.25" customWidth="1"/>
    <col min="10746" max="10746" width="4.375" customWidth="1"/>
    <col min="10747" max="10747" width="3.375" customWidth="1"/>
    <col min="10748" max="10748" width="2.25" customWidth="1"/>
    <col min="10749" max="10749" width="2.75" customWidth="1"/>
    <col min="10750" max="10750" width="3" customWidth="1"/>
    <col min="10751" max="10751" width="4" customWidth="1"/>
    <col min="10752" max="10752" width="6.75" customWidth="1"/>
    <col min="10753" max="10753" width="12.25" customWidth="1"/>
    <col min="10754" max="10754" width="11.875" customWidth="1"/>
    <col min="10755" max="10755" width="4.375" customWidth="1"/>
    <col min="10756" max="10756" width="4" customWidth="1"/>
    <col min="10757" max="10757" width="3.625" customWidth="1"/>
    <col min="10758" max="10758" width="20.125" customWidth="1"/>
    <col min="10759" max="10759" width="17.875" customWidth="1"/>
    <col min="10760" max="10760" width="1" customWidth="1"/>
    <col min="10761" max="10761" width="15.125" customWidth="1"/>
    <col min="10762" max="10762" width="18.125" customWidth="1"/>
    <col min="10999" max="10999" width="10.375" customWidth="1"/>
    <col min="11000" max="11000" width="20.75" customWidth="1"/>
    <col min="11001" max="11001" width="4.25" customWidth="1"/>
    <col min="11002" max="11002" width="4.375" customWidth="1"/>
    <col min="11003" max="11003" width="3.375" customWidth="1"/>
    <col min="11004" max="11004" width="2.25" customWidth="1"/>
    <col min="11005" max="11005" width="2.75" customWidth="1"/>
    <col min="11006" max="11006" width="3" customWidth="1"/>
    <col min="11007" max="11007" width="4" customWidth="1"/>
    <col min="11008" max="11008" width="6.75" customWidth="1"/>
    <col min="11009" max="11009" width="12.25" customWidth="1"/>
    <col min="11010" max="11010" width="11.875" customWidth="1"/>
    <col min="11011" max="11011" width="4.375" customWidth="1"/>
    <col min="11012" max="11012" width="4" customWidth="1"/>
    <col min="11013" max="11013" width="3.625" customWidth="1"/>
    <col min="11014" max="11014" width="20.125" customWidth="1"/>
    <col min="11015" max="11015" width="17.875" customWidth="1"/>
    <col min="11016" max="11016" width="1" customWidth="1"/>
    <col min="11017" max="11017" width="15.125" customWidth="1"/>
    <col min="11018" max="11018" width="18.125" customWidth="1"/>
    <col min="11255" max="11255" width="10.375" customWidth="1"/>
    <col min="11256" max="11256" width="20.75" customWidth="1"/>
    <col min="11257" max="11257" width="4.25" customWidth="1"/>
    <col min="11258" max="11258" width="4.375" customWidth="1"/>
    <col min="11259" max="11259" width="3.375" customWidth="1"/>
    <col min="11260" max="11260" width="2.25" customWidth="1"/>
    <col min="11261" max="11261" width="2.75" customWidth="1"/>
    <col min="11262" max="11262" width="3" customWidth="1"/>
    <col min="11263" max="11263" width="4" customWidth="1"/>
    <col min="11264" max="11264" width="6.75" customWidth="1"/>
    <col min="11265" max="11265" width="12.25" customWidth="1"/>
    <col min="11266" max="11266" width="11.875" customWidth="1"/>
    <col min="11267" max="11267" width="4.375" customWidth="1"/>
    <col min="11268" max="11268" width="4" customWidth="1"/>
    <col min="11269" max="11269" width="3.625" customWidth="1"/>
    <col min="11270" max="11270" width="20.125" customWidth="1"/>
    <col min="11271" max="11271" width="17.875" customWidth="1"/>
    <col min="11272" max="11272" width="1" customWidth="1"/>
    <col min="11273" max="11273" width="15.125" customWidth="1"/>
    <col min="11274" max="11274" width="18.125" customWidth="1"/>
    <col min="11511" max="11511" width="10.375" customWidth="1"/>
    <col min="11512" max="11512" width="20.75" customWidth="1"/>
    <col min="11513" max="11513" width="4.25" customWidth="1"/>
    <col min="11514" max="11514" width="4.375" customWidth="1"/>
    <col min="11515" max="11515" width="3.375" customWidth="1"/>
    <col min="11516" max="11516" width="2.25" customWidth="1"/>
    <col min="11517" max="11517" width="2.75" customWidth="1"/>
    <col min="11518" max="11518" width="3" customWidth="1"/>
    <col min="11519" max="11519" width="4" customWidth="1"/>
    <col min="11520" max="11520" width="6.75" customWidth="1"/>
    <col min="11521" max="11521" width="12.25" customWidth="1"/>
    <col min="11522" max="11522" width="11.875" customWidth="1"/>
    <col min="11523" max="11523" width="4.375" customWidth="1"/>
    <col min="11524" max="11524" width="4" customWidth="1"/>
    <col min="11525" max="11525" width="3.625" customWidth="1"/>
    <col min="11526" max="11526" width="20.125" customWidth="1"/>
    <col min="11527" max="11527" width="17.875" customWidth="1"/>
    <col min="11528" max="11528" width="1" customWidth="1"/>
    <col min="11529" max="11529" width="15.125" customWidth="1"/>
    <col min="11530" max="11530" width="18.125" customWidth="1"/>
    <col min="11767" max="11767" width="10.375" customWidth="1"/>
    <col min="11768" max="11768" width="20.75" customWidth="1"/>
    <col min="11769" max="11769" width="4.25" customWidth="1"/>
    <col min="11770" max="11770" width="4.375" customWidth="1"/>
    <col min="11771" max="11771" width="3.375" customWidth="1"/>
    <col min="11772" max="11772" width="2.25" customWidth="1"/>
    <col min="11773" max="11773" width="2.75" customWidth="1"/>
    <col min="11774" max="11774" width="3" customWidth="1"/>
    <col min="11775" max="11775" width="4" customWidth="1"/>
    <col min="11776" max="11776" width="6.75" customWidth="1"/>
    <col min="11777" max="11777" width="12.25" customWidth="1"/>
    <col min="11778" max="11778" width="11.875" customWidth="1"/>
    <col min="11779" max="11779" width="4.375" customWidth="1"/>
    <col min="11780" max="11780" width="4" customWidth="1"/>
    <col min="11781" max="11781" width="3.625" customWidth="1"/>
    <col min="11782" max="11782" width="20.125" customWidth="1"/>
    <col min="11783" max="11783" width="17.875" customWidth="1"/>
    <col min="11784" max="11784" width="1" customWidth="1"/>
    <col min="11785" max="11785" width="15.125" customWidth="1"/>
    <col min="11786" max="11786" width="18.125" customWidth="1"/>
    <col min="12023" max="12023" width="10.375" customWidth="1"/>
    <col min="12024" max="12024" width="20.75" customWidth="1"/>
    <col min="12025" max="12025" width="4.25" customWidth="1"/>
    <col min="12026" max="12026" width="4.375" customWidth="1"/>
    <col min="12027" max="12027" width="3.375" customWidth="1"/>
    <col min="12028" max="12028" width="2.25" customWidth="1"/>
    <col min="12029" max="12029" width="2.75" customWidth="1"/>
    <col min="12030" max="12030" width="3" customWidth="1"/>
    <col min="12031" max="12031" width="4" customWidth="1"/>
    <col min="12032" max="12032" width="6.75" customWidth="1"/>
    <col min="12033" max="12033" width="12.25" customWidth="1"/>
    <col min="12034" max="12034" width="11.875" customWidth="1"/>
    <col min="12035" max="12035" width="4.375" customWidth="1"/>
    <col min="12036" max="12036" width="4" customWidth="1"/>
    <col min="12037" max="12037" width="3.625" customWidth="1"/>
    <col min="12038" max="12038" width="20.125" customWidth="1"/>
    <col min="12039" max="12039" width="17.875" customWidth="1"/>
    <col min="12040" max="12040" width="1" customWidth="1"/>
    <col min="12041" max="12041" width="15.125" customWidth="1"/>
    <col min="12042" max="12042" width="18.125" customWidth="1"/>
    <col min="12279" max="12279" width="10.375" customWidth="1"/>
    <col min="12280" max="12280" width="20.75" customWidth="1"/>
    <col min="12281" max="12281" width="4.25" customWidth="1"/>
    <col min="12282" max="12282" width="4.375" customWidth="1"/>
    <col min="12283" max="12283" width="3.375" customWidth="1"/>
    <col min="12284" max="12284" width="2.25" customWidth="1"/>
    <col min="12285" max="12285" width="2.75" customWidth="1"/>
    <col min="12286" max="12286" width="3" customWidth="1"/>
    <col min="12287" max="12287" width="4" customWidth="1"/>
    <col min="12288" max="12288" width="6.75" customWidth="1"/>
    <col min="12289" max="12289" width="12.25" customWidth="1"/>
    <col min="12290" max="12290" width="11.875" customWidth="1"/>
    <col min="12291" max="12291" width="4.375" customWidth="1"/>
    <col min="12292" max="12292" width="4" customWidth="1"/>
    <col min="12293" max="12293" width="3.625" customWidth="1"/>
    <col min="12294" max="12294" width="20.125" customWidth="1"/>
    <col min="12295" max="12295" width="17.875" customWidth="1"/>
    <col min="12296" max="12296" width="1" customWidth="1"/>
    <col min="12297" max="12297" width="15.125" customWidth="1"/>
    <col min="12298" max="12298" width="18.125" customWidth="1"/>
    <col min="12535" max="12535" width="10.375" customWidth="1"/>
    <col min="12536" max="12536" width="20.75" customWidth="1"/>
    <col min="12537" max="12537" width="4.25" customWidth="1"/>
    <col min="12538" max="12538" width="4.375" customWidth="1"/>
    <col min="12539" max="12539" width="3.375" customWidth="1"/>
    <col min="12540" max="12540" width="2.25" customWidth="1"/>
    <col min="12541" max="12541" width="2.75" customWidth="1"/>
    <col min="12542" max="12542" width="3" customWidth="1"/>
    <col min="12543" max="12543" width="4" customWidth="1"/>
    <col min="12544" max="12544" width="6.75" customWidth="1"/>
    <col min="12545" max="12545" width="12.25" customWidth="1"/>
    <col min="12546" max="12546" width="11.875" customWidth="1"/>
    <col min="12547" max="12547" width="4.375" customWidth="1"/>
    <col min="12548" max="12548" width="4" customWidth="1"/>
    <col min="12549" max="12549" width="3.625" customWidth="1"/>
    <col min="12550" max="12550" width="20.125" customWidth="1"/>
    <col min="12551" max="12551" width="17.875" customWidth="1"/>
    <col min="12552" max="12552" width="1" customWidth="1"/>
    <col min="12553" max="12553" width="15.125" customWidth="1"/>
    <col min="12554" max="12554" width="18.125" customWidth="1"/>
    <col min="12791" max="12791" width="10.375" customWidth="1"/>
    <col min="12792" max="12792" width="20.75" customWidth="1"/>
    <col min="12793" max="12793" width="4.25" customWidth="1"/>
    <col min="12794" max="12794" width="4.375" customWidth="1"/>
    <col min="12795" max="12795" width="3.375" customWidth="1"/>
    <col min="12796" max="12796" width="2.25" customWidth="1"/>
    <col min="12797" max="12797" width="2.75" customWidth="1"/>
    <col min="12798" max="12798" width="3" customWidth="1"/>
    <col min="12799" max="12799" width="4" customWidth="1"/>
    <col min="12800" max="12800" width="6.75" customWidth="1"/>
    <col min="12801" max="12801" width="12.25" customWidth="1"/>
    <col min="12802" max="12802" width="11.875" customWidth="1"/>
    <col min="12803" max="12803" width="4.375" customWidth="1"/>
    <col min="12804" max="12804" width="4" customWidth="1"/>
    <col min="12805" max="12805" width="3.625" customWidth="1"/>
    <col min="12806" max="12806" width="20.125" customWidth="1"/>
    <col min="12807" max="12807" width="17.875" customWidth="1"/>
    <col min="12808" max="12808" width="1" customWidth="1"/>
    <col min="12809" max="12809" width="15.125" customWidth="1"/>
    <col min="12810" max="12810" width="18.125" customWidth="1"/>
    <col min="13047" max="13047" width="10.375" customWidth="1"/>
    <col min="13048" max="13048" width="20.75" customWidth="1"/>
    <col min="13049" max="13049" width="4.25" customWidth="1"/>
    <col min="13050" max="13050" width="4.375" customWidth="1"/>
    <col min="13051" max="13051" width="3.375" customWidth="1"/>
    <col min="13052" max="13052" width="2.25" customWidth="1"/>
    <col min="13053" max="13053" width="2.75" customWidth="1"/>
    <col min="13054" max="13054" width="3" customWidth="1"/>
    <col min="13055" max="13055" width="4" customWidth="1"/>
    <col min="13056" max="13056" width="6.75" customWidth="1"/>
    <col min="13057" max="13057" width="12.25" customWidth="1"/>
    <col min="13058" max="13058" width="11.875" customWidth="1"/>
    <col min="13059" max="13059" width="4.375" customWidth="1"/>
    <col min="13060" max="13060" width="4" customWidth="1"/>
    <col min="13061" max="13061" width="3.625" customWidth="1"/>
    <col min="13062" max="13062" width="20.125" customWidth="1"/>
    <col min="13063" max="13063" width="17.875" customWidth="1"/>
    <col min="13064" max="13064" width="1" customWidth="1"/>
    <col min="13065" max="13065" width="15.125" customWidth="1"/>
    <col min="13066" max="13066" width="18.125" customWidth="1"/>
    <col min="13303" max="13303" width="10.375" customWidth="1"/>
    <col min="13304" max="13304" width="20.75" customWidth="1"/>
    <col min="13305" max="13305" width="4.25" customWidth="1"/>
    <col min="13306" max="13306" width="4.375" customWidth="1"/>
    <col min="13307" max="13307" width="3.375" customWidth="1"/>
    <col min="13308" max="13308" width="2.25" customWidth="1"/>
    <col min="13309" max="13309" width="2.75" customWidth="1"/>
    <col min="13310" max="13310" width="3" customWidth="1"/>
    <col min="13311" max="13311" width="4" customWidth="1"/>
    <col min="13312" max="13312" width="6.75" customWidth="1"/>
    <col min="13313" max="13313" width="12.25" customWidth="1"/>
    <col min="13314" max="13314" width="11.875" customWidth="1"/>
    <col min="13315" max="13315" width="4.375" customWidth="1"/>
    <col min="13316" max="13316" width="4" customWidth="1"/>
    <col min="13317" max="13317" width="3.625" customWidth="1"/>
    <col min="13318" max="13318" width="20.125" customWidth="1"/>
    <col min="13319" max="13319" width="17.875" customWidth="1"/>
    <col min="13320" max="13320" width="1" customWidth="1"/>
    <col min="13321" max="13321" width="15.125" customWidth="1"/>
    <col min="13322" max="13322" width="18.125" customWidth="1"/>
    <col min="13559" max="13559" width="10.375" customWidth="1"/>
    <col min="13560" max="13560" width="20.75" customWidth="1"/>
    <col min="13561" max="13561" width="4.25" customWidth="1"/>
    <col min="13562" max="13562" width="4.375" customWidth="1"/>
    <col min="13563" max="13563" width="3.375" customWidth="1"/>
    <col min="13564" max="13564" width="2.25" customWidth="1"/>
    <col min="13565" max="13565" width="2.75" customWidth="1"/>
    <col min="13566" max="13566" width="3" customWidth="1"/>
    <col min="13567" max="13567" width="4" customWidth="1"/>
    <col min="13568" max="13568" width="6.75" customWidth="1"/>
    <col min="13569" max="13569" width="12.25" customWidth="1"/>
    <col min="13570" max="13570" width="11.875" customWidth="1"/>
    <col min="13571" max="13571" width="4.375" customWidth="1"/>
    <col min="13572" max="13572" width="4" customWidth="1"/>
    <col min="13573" max="13573" width="3.625" customWidth="1"/>
    <col min="13574" max="13574" width="20.125" customWidth="1"/>
    <col min="13575" max="13575" width="17.875" customWidth="1"/>
    <col min="13576" max="13576" width="1" customWidth="1"/>
    <col min="13577" max="13577" width="15.125" customWidth="1"/>
    <col min="13578" max="13578" width="18.125" customWidth="1"/>
    <col min="13815" max="13815" width="10.375" customWidth="1"/>
    <col min="13816" max="13816" width="20.75" customWidth="1"/>
    <col min="13817" max="13817" width="4.25" customWidth="1"/>
    <col min="13818" max="13818" width="4.375" customWidth="1"/>
    <col min="13819" max="13819" width="3.375" customWidth="1"/>
    <col min="13820" max="13820" width="2.25" customWidth="1"/>
    <col min="13821" max="13821" width="2.75" customWidth="1"/>
    <col min="13822" max="13822" width="3" customWidth="1"/>
    <col min="13823" max="13823" width="4" customWidth="1"/>
    <col min="13824" max="13824" width="6.75" customWidth="1"/>
    <col min="13825" max="13825" width="12.25" customWidth="1"/>
    <col min="13826" max="13826" width="11.875" customWidth="1"/>
    <col min="13827" max="13827" width="4.375" customWidth="1"/>
    <col min="13828" max="13828" width="4" customWidth="1"/>
    <col min="13829" max="13829" width="3.625" customWidth="1"/>
    <col min="13830" max="13830" width="20.125" customWidth="1"/>
    <col min="13831" max="13831" width="17.875" customWidth="1"/>
    <col min="13832" max="13832" width="1" customWidth="1"/>
    <col min="13833" max="13833" width="15.125" customWidth="1"/>
    <col min="13834" max="13834" width="18.125" customWidth="1"/>
    <col min="14071" max="14071" width="10.375" customWidth="1"/>
    <col min="14072" max="14072" width="20.75" customWidth="1"/>
    <col min="14073" max="14073" width="4.25" customWidth="1"/>
    <col min="14074" max="14074" width="4.375" customWidth="1"/>
    <col min="14075" max="14075" width="3.375" customWidth="1"/>
    <col min="14076" max="14076" width="2.25" customWidth="1"/>
    <col min="14077" max="14077" width="2.75" customWidth="1"/>
    <col min="14078" max="14078" width="3" customWidth="1"/>
    <col min="14079" max="14079" width="4" customWidth="1"/>
    <col min="14080" max="14080" width="6.75" customWidth="1"/>
    <col min="14081" max="14081" width="12.25" customWidth="1"/>
    <col min="14082" max="14082" width="11.875" customWidth="1"/>
    <col min="14083" max="14083" width="4.375" customWidth="1"/>
    <col min="14084" max="14084" width="4" customWidth="1"/>
    <col min="14085" max="14085" width="3.625" customWidth="1"/>
    <col min="14086" max="14086" width="20.125" customWidth="1"/>
    <col min="14087" max="14087" width="17.875" customWidth="1"/>
    <col min="14088" max="14088" width="1" customWidth="1"/>
    <col min="14089" max="14089" width="15.125" customWidth="1"/>
    <col min="14090" max="14090" width="18.125" customWidth="1"/>
    <col min="14327" max="14327" width="10.375" customWidth="1"/>
    <col min="14328" max="14328" width="20.75" customWidth="1"/>
    <col min="14329" max="14329" width="4.25" customWidth="1"/>
    <col min="14330" max="14330" width="4.375" customWidth="1"/>
    <col min="14331" max="14331" width="3.375" customWidth="1"/>
    <col min="14332" max="14332" width="2.25" customWidth="1"/>
    <col min="14333" max="14333" width="2.75" customWidth="1"/>
    <col min="14334" max="14334" width="3" customWidth="1"/>
    <col min="14335" max="14335" width="4" customWidth="1"/>
    <col min="14336" max="14336" width="6.75" customWidth="1"/>
    <col min="14337" max="14337" width="12.25" customWidth="1"/>
    <col min="14338" max="14338" width="11.875" customWidth="1"/>
    <col min="14339" max="14339" width="4.375" customWidth="1"/>
    <col min="14340" max="14340" width="4" customWidth="1"/>
    <col min="14341" max="14341" width="3.625" customWidth="1"/>
    <col min="14342" max="14342" width="20.125" customWidth="1"/>
    <col min="14343" max="14343" width="17.875" customWidth="1"/>
    <col min="14344" max="14344" width="1" customWidth="1"/>
    <col min="14345" max="14345" width="15.125" customWidth="1"/>
    <col min="14346" max="14346" width="18.125" customWidth="1"/>
    <col min="14583" max="14583" width="10.375" customWidth="1"/>
    <col min="14584" max="14584" width="20.75" customWidth="1"/>
    <col min="14585" max="14585" width="4.25" customWidth="1"/>
    <col min="14586" max="14586" width="4.375" customWidth="1"/>
    <col min="14587" max="14587" width="3.375" customWidth="1"/>
    <col min="14588" max="14588" width="2.25" customWidth="1"/>
    <col min="14589" max="14589" width="2.75" customWidth="1"/>
    <col min="14590" max="14590" width="3" customWidth="1"/>
    <col min="14591" max="14591" width="4" customWidth="1"/>
    <col min="14592" max="14592" width="6.75" customWidth="1"/>
    <col min="14593" max="14593" width="12.25" customWidth="1"/>
    <col min="14594" max="14594" width="11.875" customWidth="1"/>
    <col min="14595" max="14595" width="4.375" customWidth="1"/>
    <col min="14596" max="14596" width="4" customWidth="1"/>
    <col min="14597" max="14597" width="3.625" customWidth="1"/>
    <col min="14598" max="14598" width="20.125" customWidth="1"/>
    <col min="14599" max="14599" width="17.875" customWidth="1"/>
    <col min="14600" max="14600" width="1" customWidth="1"/>
    <col min="14601" max="14601" width="15.125" customWidth="1"/>
    <col min="14602" max="14602" width="18.125" customWidth="1"/>
    <col min="14839" max="14839" width="10.375" customWidth="1"/>
    <col min="14840" max="14840" width="20.75" customWidth="1"/>
    <col min="14841" max="14841" width="4.25" customWidth="1"/>
    <col min="14842" max="14842" width="4.375" customWidth="1"/>
    <col min="14843" max="14843" width="3.375" customWidth="1"/>
    <col min="14844" max="14844" width="2.25" customWidth="1"/>
    <col min="14845" max="14845" width="2.75" customWidth="1"/>
    <col min="14846" max="14846" width="3" customWidth="1"/>
    <col min="14847" max="14847" width="4" customWidth="1"/>
    <col min="14848" max="14848" width="6.75" customWidth="1"/>
    <col min="14849" max="14849" width="12.25" customWidth="1"/>
    <col min="14850" max="14850" width="11.875" customWidth="1"/>
    <col min="14851" max="14851" width="4.375" customWidth="1"/>
    <col min="14852" max="14852" width="4" customWidth="1"/>
    <col min="14853" max="14853" width="3.625" customWidth="1"/>
    <col min="14854" max="14854" width="20.125" customWidth="1"/>
    <col min="14855" max="14855" width="17.875" customWidth="1"/>
    <col min="14856" max="14856" width="1" customWidth="1"/>
    <col min="14857" max="14857" width="15.125" customWidth="1"/>
    <col min="14858" max="14858" width="18.125" customWidth="1"/>
    <col min="15095" max="15095" width="10.375" customWidth="1"/>
    <col min="15096" max="15096" width="20.75" customWidth="1"/>
    <col min="15097" max="15097" width="4.25" customWidth="1"/>
    <col min="15098" max="15098" width="4.375" customWidth="1"/>
    <col min="15099" max="15099" width="3.375" customWidth="1"/>
    <col min="15100" max="15100" width="2.25" customWidth="1"/>
    <col min="15101" max="15101" width="2.75" customWidth="1"/>
    <col min="15102" max="15102" width="3" customWidth="1"/>
    <col min="15103" max="15103" width="4" customWidth="1"/>
    <col min="15104" max="15104" width="6.75" customWidth="1"/>
    <col min="15105" max="15105" width="12.25" customWidth="1"/>
    <col min="15106" max="15106" width="11.875" customWidth="1"/>
    <col min="15107" max="15107" width="4.375" customWidth="1"/>
    <col min="15108" max="15108" width="4" customWidth="1"/>
    <col min="15109" max="15109" width="3.625" customWidth="1"/>
    <col min="15110" max="15110" width="20.125" customWidth="1"/>
    <col min="15111" max="15111" width="17.875" customWidth="1"/>
    <col min="15112" max="15112" width="1" customWidth="1"/>
    <col min="15113" max="15113" width="15.125" customWidth="1"/>
    <col min="15114" max="15114" width="18.125" customWidth="1"/>
    <col min="15351" max="15351" width="10.375" customWidth="1"/>
    <col min="15352" max="15352" width="20.75" customWidth="1"/>
    <col min="15353" max="15353" width="4.25" customWidth="1"/>
    <col min="15354" max="15354" width="4.375" customWidth="1"/>
    <col min="15355" max="15355" width="3.375" customWidth="1"/>
    <col min="15356" max="15356" width="2.25" customWidth="1"/>
    <col min="15357" max="15357" width="2.75" customWidth="1"/>
    <col min="15358" max="15358" width="3" customWidth="1"/>
    <col min="15359" max="15359" width="4" customWidth="1"/>
    <col min="15360" max="15360" width="6.75" customWidth="1"/>
    <col min="15361" max="15361" width="12.25" customWidth="1"/>
    <col min="15362" max="15362" width="11.875" customWidth="1"/>
    <col min="15363" max="15363" width="4.375" customWidth="1"/>
    <col min="15364" max="15364" width="4" customWidth="1"/>
    <col min="15365" max="15365" width="3.625" customWidth="1"/>
    <col min="15366" max="15366" width="20.125" customWidth="1"/>
    <col min="15367" max="15367" width="17.875" customWidth="1"/>
    <col min="15368" max="15368" width="1" customWidth="1"/>
    <col min="15369" max="15369" width="15.125" customWidth="1"/>
    <col min="15370" max="15370" width="18.125" customWidth="1"/>
    <col min="15607" max="15607" width="10.375" customWidth="1"/>
    <col min="15608" max="15608" width="20.75" customWidth="1"/>
    <col min="15609" max="15609" width="4.25" customWidth="1"/>
    <col min="15610" max="15610" width="4.375" customWidth="1"/>
    <col min="15611" max="15611" width="3.375" customWidth="1"/>
    <col min="15612" max="15612" width="2.25" customWidth="1"/>
    <col min="15613" max="15613" width="2.75" customWidth="1"/>
    <col min="15614" max="15614" width="3" customWidth="1"/>
    <col min="15615" max="15615" width="4" customWidth="1"/>
    <col min="15616" max="15616" width="6.75" customWidth="1"/>
    <col min="15617" max="15617" width="12.25" customWidth="1"/>
    <col min="15618" max="15618" width="11.875" customWidth="1"/>
    <col min="15619" max="15619" width="4.375" customWidth="1"/>
    <col min="15620" max="15620" width="4" customWidth="1"/>
    <col min="15621" max="15621" width="3.625" customWidth="1"/>
    <col min="15622" max="15622" width="20.125" customWidth="1"/>
    <col min="15623" max="15623" width="17.875" customWidth="1"/>
    <col min="15624" max="15624" width="1" customWidth="1"/>
    <col min="15625" max="15625" width="15.125" customWidth="1"/>
    <col min="15626" max="15626" width="18.125" customWidth="1"/>
    <col min="15863" max="15863" width="10.375" customWidth="1"/>
    <col min="15864" max="15864" width="20.75" customWidth="1"/>
    <col min="15865" max="15865" width="4.25" customWidth="1"/>
    <col min="15866" max="15866" width="4.375" customWidth="1"/>
    <col min="15867" max="15867" width="3.375" customWidth="1"/>
    <col min="15868" max="15868" width="2.25" customWidth="1"/>
    <col min="15869" max="15869" width="2.75" customWidth="1"/>
    <col min="15870" max="15870" width="3" customWidth="1"/>
    <col min="15871" max="15871" width="4" customWidth="1"/>
    <col min="15872" max="15872" width="6.75" customWidth="1"/>
    <col min="15873" max="15873" width="12.25" customWidth="1"/>
    <col min="15874" max="15874" width="11.875" customWidth="1"/>
    <col min="15875" max="15875" width="4.375" customWidth="1"/>
    <col min="15876" max="15876" width="4" customWidth="1"/>
    <col min="15877" max="15877" width="3.625" customWidth="1"/>
    <col min="15878" max="15878" width="20.125" customWidth="1"/>
    <col min="15879" max="15879" width="17.875" customWidth="1"/>
    <col min="15880" max="15880" width="1" customWidth="1"/>
    <col min="15881" max="15881" width="15.125" customWidth="1"/>
    <col min="15882" max="15882" width="18.125" customWidth="1"/>
    <col min="16119" max="16119" width="10.375" customWidth="1"/>
    <col min="16120" max="16120" width="20.75" customWidth="1"/>
    <col min="16121" max="16121" width="4.25" customWidth="1"/>
    <col min="16122" max="16122" width="4.375" customWidth="1"/>
    <col min="16123" max="16123" width="3.375" customWidth="1"/>
    <col min="16124" max="16124" width="2.25" customWidth="1"/>
    <col min="16125" max="16125" width="2.75" customWidth="1"/>
    <col min="16126" max="16126" width="3" customWidth="1"/>
    <col min="16127" max="16127" width="4" customWidth="1"/>
    <col min="16128" max="16128" width="6.75" customWidth="1"/>
    <col min="16129" max="16129" width="12.25" customWidth="1"/>
    <col min="16130" max="16130" width="11.875" customWidth="1"/>
    <col min="16131" max="16131" width="4.375" customWidth="1"/>
    <col min="16132" max="16132" width="4" customWidth="1"/>
    <col min="16133" max="16133" width="3.625" customWidth="1"/>
    <col min="16134" max="16134" width="20.125" customWidth="1"/>
    <col min="16135" max="16135" width="17.875" customWidth="1"/>
    <col min="16136" max="16136" width="1" customWidth="1"/>
    <col min="16137" max="16137" width="15.125" customWidth="1"/>
    <col min="16138" max="16138" width="18.125" customWidth="1"/>
  </cols>
  <sheetData>
    <row r="1" spans="1:32" s="106" customFormat="1" ht="9.9499999999999993" customHeight="1">
      <c r="N1" s="1"/>
      <c r="O1" s="1"/>
      <c r="P1" s="1"/>
      <c r="Q1" s="1"/>
      <c r="R1" s="1"/>
      <c r="S1" s="1"/>
      <c r="T1" s="1"/>
      <c r="U1" s="1"/>
      <c r="V1" s="1"/>
      <c r="W1" s="1"/>
      <c r="X1" s="1"/>
      <c r="Y1" s="1"/>
      <c r="Z1" s="1"/>
      <c r="AA1" s="1"/>
      <c r="AB1" s="1"/>
      <c r="AC1" s="1"/>
      <c r="AD1" s="1"/>
      <c r="AE1"/>
      <c r="AF1"/>
    </row>
    <row r="2" spans="1:32" s="106" customFormat="1" ht="18" customHeight="1">
      <c r="A2" s="343" t="s">
        <v>438</v>
      </c>
      <c r="B2" s="343"/>
      <c r="C2" s="343"/>
      <c r="D2" s="343"/>
      <c r="E2" s="343"/>
      <c r="F2" s="343"/>
      <c r="G2" s="343"/>
      <c r="H2" s="343"/>
      <c r="I2" s="343"/>
      <c r="J2" s="343"/>
      <c r="K2" s="343"/>
      <c r="L2" s="343"/>
      <c r="M2" s="211"/>
      <c r="N2" s="1"/>
      <c r="O2" s="1"/>
      <c r="P2" s="1"/>
      <c r="Q2" s="1"/>
      <c r="R2" s="1"/>
      <c r="S2" s="1"/>
      <c r="T2" s="1"/>
      <c r="U2" s="1"/>
      <c r="V2" s="1"/>
      <c r="W2" s="1"/>
      <c r="X2" s="1"/>
      <c r="Y2" s="1"/>
      <c r="Z2" s="1"/>
      <c r="AA2" s="1"/>
      <c r="AB2" s="1"/>
      <c r="AC2" s="1"/>
      <c r="AD2" s="1"/>
      <c r="AE2"/>
      <c r="AF2"/>
    </row>
    <row r="3" spans="1:32" s="106" customFormat="1" ht="9.9499999999999993" customHeight="1">
      <c r="A3" s="343"/>
      <c r="B3" s="343"/>
      <c r="C3" s="343"/>
      <c r="D3" s="343"/>
      <c r="E3" s="343"/>
      <c r="F3" s="343"/>
      <c r="G3" s="343"/>
      <c r="H3" s="343"/>
      <c r="I3" s="343"/>
      <c r="J3" s="343"/>
      <c r="K3" s="343"/>
      <c r="L3" s="343"/>
      <c r="M3" s="211"/>
      <c r="N3" s="1"/>
      <c r="O3" s="1"/>
      <c r="P3" s="1"/>
      <c r="Q3" s="1"/>
      <c r="R3" s="1"/>
      <c r="S3" s="1"/>
      <c r="T3" s="1"/>
      <c r="U3" s="1"/>
      <c r="V3" s="1"/>
      <c r="W3" s="1"/>
      <c r="X3" s="1"/>
      <c r="Y3" s="1"/>
      <c r="Z3" s="1"/>
      <c r="AA3" s="1"/>
      <c r="AB3" s="1"/>
      <c r="AC3" s="1"/>
      <c r="AD3" s="1"/>
      <c r="AE3"/>
      <c r="AF3"/>
    </row>
    <row r="4" spans="1:32" s="106" customFormat="1" ht="13.5" customHeight="1">
      <c r="J4" s="107"/>
      <c r="N4" s="1"/>
      <c r="O4" s="1"/>
      <c r="P4" s="1"/>
      <c r="Q4" s="1"/>
      <c r="R4" s="1"/>
      <c r="S4" s="1"/>
      <c r="T4" s="1"/>
      <c r="U4" s="1"/>
      <c r="V4" s="1"/>
      <c r="W4" s="1"/>
      <c r="X4" s="1"/>
      <c r="Y4" s="1"/>
      <c r="Z4" s="1"/>
      <c r="AA4" s="1"/>
      <c r="AB4" s="1"/>
      <c r="AC4" s="1"/>
      <c r="AD4" s="1"/>
      <c r="AE4"/>
      <c r="AF4"/>
    </row>
    <row r="5" spans="1:32" s="106" customFormat="1" ht="19.5" customHeight="1">
      <c r="A5" s="108" t="s">
        <v>439</v>
      </c>
      <c r="B5" s="109" t="s">
        <v>440</v>
      </c>
      <c r="C5" s="336" t="s">
        <v>441</v>
      </c>
      <c r="D5" s="336"/>
      <c r="E5" s="336"/>
      <c r="F5" s="336"/>
      <c r="G5" s="110"/>
      <c r="H5" s="110"/>
      <c r="I5" s="110"/>
      <c r="J5" s="107"/>
      <c r="K5" s="336" t="s">
        <v>442</v>
      </c>
      <c r="L5" s="336"/>
      <c r="M5" s="135"/>
      <c r="N5" s="1"/>
      <c r="O5" s="1"/>
      <c r="P5" s="1"/>
      <c r="Q5" s="1"/>
      <c r="R5" s="1"/>
      <c r="S5" s="1"/>
      <c r="T5" s="1"/>
      <c r="U5" s="1"/>
      <c r="V5" s="1"/>
      <c r="W5" s="1"/>
      <c r="X5" s="1"/>
      <c r="Y5" s="1"/>
      <c r="Z5" s="1"/>
      <c r="AA5" s="1"/>
      <c r="AB5" s="1"/>
      <c r="AC5" s="1"/>
      <c r="AD5" s="1"/>
      <c r="AE5"/>
      <c r="AF5"/>
    </row>
    <row r="6" spans="1:32" s="106" customFormat="1" ht="20.25" customHeight="1">
      <c r="A6" s="108" t="s">
        <v>443</v>
      </c>
      <c r="B6" s="109" t="s">
        <v>444</v>
      </c>
      <c r="C6" s="336" t="s">
        <v>445</v>
      </c>
      <c r="D6" s="336"/>
      <c r="E6" s="336"/>
      <c r="F6" s="336"/>
      <c r="G6" s="110"/>
      <c r="H6" s="110"/>
      <c r="I6" s="110"/>
      <c r="J6" s="107"/>
      <c r="K6" s="104" t="s">
        <v>1202</v>
      </c>
      <c r="L6" s="111" t="s">
        <v>468</v>
      </c>
      <c r="M6" s="15"/>
      <c r="N6" s="1"/>
      <c r="O6" s="1"/>
      <c r="P6" s="1"/>
      <c r="Q6" s="1"/>
      <c r="R6" s="1"/>
      <c r="S6" s="1"/>
      <c r="T6" s="1"/>
      <c r="U6" s="1"/>
      <c r="V6" s="1"/>
      <c r="W6" s="1"/>
      <c r="X6" s="1"/>
      <c r="Y6" s="1"/>
      <c r="Z6" s="1"/>
      <c r="AA6" s="1"/>
      <c r="AB6" s="1"/>
      <c r="AC6" s="1"/>
      <c r="AD6" s="1"/>
      <c r="AE6"/>
      <c r="AF6"/>
    </row>
    <row r="7" spans="1:32" s="106" customFormat="1" ht="19.5" customHeight="1">
      <c r="A7" s="108" t="s">
        <v>446</v>
      </c>
      <c r="B7" s="109" t="s">
        <v>447</v>
      </c>
      <c r="C7" s="336" t="s">
        <v>448</v>
      </c>
      <c r="D7" s="336"/>
      <c r="E7" s="336"/>
      <c r="F7" s="336"/>
      <c r="G7" s="336" t="s">
        <v>449</v>
      </c>
      <c r="H7" s="336"/>
      <c r="I7" s="337"/>
      <c r="J7" s="107"/>
      <c r="K7" s="336" t="s">
        <v>450</v>
      </c>
      <c r="L7" s="336"/>
      <c r="M7" s="135"/>
      <c r="N7" s="1"/>
      <c r="O7" s="1"/>
      <c r="P7" s="1"/>
      <c r="Q7" s="1"/>
      <c r="R7" s="1"/>
      <c r="S7" s="1"/>
      <c r="T7" s="1"/>
      <c r="U7" s="1"/>
      <c r="V7" s="1"/>
      <c r="W7" s="1"/>
      <c r="X7" s="1"/>
      <c r="Y7" s="1"/>
      <c r="Z7" s="1"/>
      <c r="AA7" s="1"/>
      <c r="AB7" s="1"/>
      <c r="AC7" s="1"/>
      <c r="AD7" s="1"/>
      <c r="AE7"/>
      <c r="AF7"/>
    </row>
    <row r="8" spans="1:32" s="106" customFormat="1" ht="19.5" customHeight="1">
      <c r="A8" s="112" t="s">
        <v>451</v>
      </c>
      <c r="B8" s="109"/>
      <c r="C8" s="336"/>
      <c r="D8" s="336"/>
      <c r="E8" s="336"/>
      <c r="F8" s="336"/>
      <c r="G8" s="336" t="s">
        <v>452</v>
      </c>
      <c r="H8" s="336"/>
      <c r="I8" s="337"/>
      <c r="J8" s="107"/>
      <c r="K8" s="105" t="s">
        <v>1202</v>
      </c>
      <c r="L8" s="113" t="s">
        <v>469</v>
      </c>
      <c r="M8" s="15"/>
      <c r="N8" s="1"/>
      <c r="O8" s="235"/>
      <c r="P8" s="1"/>
      <c r="Q8" s="1"/>
      <c r="R8" s="1"/>
      <c r="S8" s="1"/>
      <c r="T8" s="1"/>
      <c r="U8" s="1"/>
      <c r="V8" s="1"/>
      <c r="W8" s="1"/>
      <c r="X8" s="1"/>
      <c r="Y8" s="1"/>
      <c r="Z8" s="1"/>
      <c r="AA8" s="1"/>
      <c r="AB8" s="1"/>
      <c r="AC8" s="1"/>
      <c r="AD8" s="1"/>
      <c r="AE8"/>
      <c r="AF8"/>
    </row>
    <row r="9" spans="1:32" s="106" customFormat="1" ht="19.5" customHeight="1">
      <c r="A9" s="108" t="s">
        <v>453</v>
      </c>
      <c r="B9" s="338" t="s">
        <v>454</v>
      </c>
      <c r="C9" s="339"/>
      <c r="D9" s="339"/>
      <c r="E9" s="339"/>
      <c r="F9" s="339"/>
      <c r="G9" s="339"/>
      <c r="H9" s="339"/>
      <c r="I9" s="340"/>
      <c r="J9" s="107"/>
      <c r="K9" s="341" t="s">
        <v>455</v>
      </c>
      <c r="L9" s="341"/>
      <c r="M9" s="135"/>
      <c r="N9" s="1"/>
      <c r="O9" s="1"/>
      <c r="P9" s="1"/>
      <c r="Q9" s="1"/>
      <c r="R9" s="1"/>
      <c r="S9" s="401"/>
      <c r="T9" s="308"/>
      <c r="U9" s="1"/>
      <c r="V9" s="1"/>
      <c r="W9" s="1"/>
      <c r="X9" s="1"/>
      <c r="Y9" s="1"/>
      <c r="Z9" s="1"/>
      <c r="AA9" s="1"/>
      <c r="AB9" s="1"/>
      <c r="AC9" s="1"/>
      <c r="AD9" s="1"/>
      <c r="AE9"/>
      <c r="AF9"/>
    </row>
    <row r="10" spans="1:32" s="106" customFormat="1" ht="20.25" customHeight="1">
      <c r="A10" s="114" t="s">
        <v>456</v>
      </c>
      <c r="B10" s="331"/>
      <c r="C10" s="342"/>
      <c r="D10" s="342"/>
      <c r="E10" s="342"/>
      <c r="F10" s="342"/>
      <c r="G10" s="342"/>
      <c r="H10" s="342"/>
      <c r="I10" s="342"/>
      <c r="J10" s="107"/>
      <c r="K10" s="336"/>
      <c r="L10" s="336"/>
      <c r="M10" s="231"/>
      <c r="N10" s="297"/>
      <c r="O10" s="297"/>
      <c r="P10" s="46"/>
      <c r="Q10" s="46"/>
      <c r="R10" s="297"/>
      <c r="S10" s="321"/>
      <c r="T10" s="321"/>
      <c r="U10" s="46"/>
      <c r="V10" s="50"/>
      <c r="W10" s="1"/>
      <c r="X10" s="3"/>
      <c r="Y10" s="3"/>
      <c r="Z10" s="94"/>
      <c r="AA10" s="94"/>
      <c r="AB10" s="94"/>
      <c r="AC10" s="94"/>
      <c r="AD10"/>
      <c r="AE10"/>
      <c r="AF10"/>
    </row>
    <row r="11" spans="1:32" s="106" customFormat="1" ht="21" customHeight="1">
      <c r="C11" s="355"/>
      <c r="D11" s="355"/>
      <c r="E11" s="355"/>
      <c r="F11" s="355"/>
      <c r="G11" s="355"/>
      <c r="H11" s="355"/>
      <c r="I11" s="355"/>
      <c r="J11" s="107"/>
      <c r="K11" s="356"/>
      <c r="L11" s="356"/>
      <c r="M11" s="107"/>
      <c r="N11" s="254" t="s">
        <v>433</v>
      </c>
      <c r="O11" s="254"/>
      <c r="P11" s="15" t="s">
        <v>50</v>
      </c>
      <c r="Q11" s="15" t="s">
        <v>48</v>
      </c>
      <c r="R11"/>
      <c r="S11"/>
      <c r="T11"/>
      <c r="U11"/>
      <c r="V11" s="53"/>
      <c r="W11" s="15" t="s">
        <v>50</v>
      </c>
      <c r="X11" s="15" t="s">
        <v>49</v>
      </c>
      <c r="Y11" s="15" t="s">
        <v>48</v>
      </c>
      <c r="Z11" s="297"/>
      <c r="AA11" s="297"/>
      <c r="AB11" s="297"/>
      <c r="AC11" s="297"/>
      <c r="AD11" s="15" t="s">
        <v>50</v>
      </c>
      <c r="AE11" s="15" t="s">
        <v>49</v>
      </c>
      <c r="AF11" s="15" t="s">
        <v>48</v>
      </c>
    </row>
    <row r="12" spans="1:32" s="106" customFormat="1" ht="19.5" customHeight="1">
      <c r="A12" s="115" t="s">
        <v>457</v>
      </c>
      <c r="B12" s="18" t="s">
        <v>458</v>
      </c>
      <c r="C12" s="357" t="s">
        <v>459</v>
      </c>
      <c r="D12" s="358"/>
      <c r="E12" s="358"/>
      <c r="F12" s="358"/>
      <c r="G12" s="358"/>
      <c r="H12" s="358"/>
      <c r="I12" s="359"/>
      <c r="J12" s="117" t="s">
        <v>460</v>
      </c>
      <c r="K12" s="118" t="s">
        <v>461</v>
      </c>
      <c r="L12" s="117" t="s">
        <v>462</v>
      </c>
      <c r="M12" s="232"/>
      <c r="N12" s="228" t="s">
        <v>874</v>
      </c>
      <c r="O12" s="224" t="s">
        <v>432</v>
      </c>
      <c r="P12" s="99"/>
      <c r="Q12" s="99"/>
      <c r="R12" s="4" t="s">
        <v>39</v>
      </c>
      <c r="S12" s="401" t="s">
        <v>1211</v>
      </c>
      <c r="T12" s="308"/>
      <c r="U12" s="402" t="s">
        <v>93</v>
      </c>
      <c r="V12" s="403"/>
      <c r="W12" s="38">
        <v>200</v>
      </c>
      <c r="X12" s="38">
        <v>300</v>
      </c>
      <c r="Y12" s="38">
        <v>300</v>
      </c>
      <c r="Z12" s="436" t="s">
        <v>267</v>
      </c>
      <c r="AA12" s="437"/>
      <c r="AB12" s="429" t="s">
        <v>68</v>
      </c>
      <c r="AC12" s="447"/>
      <c r="AD12" s="95">
        <v>330</v>
      </c>
      <c r="AE12" s="95"/>
      <c r="AF12" s="95">
        <v>400</v>
      </c>
    </row>
    <row r="13" spans="1:32" s="106" customFormat="1" ht="20.100000000000001" customHeight="1">
      <c r="A13" s="119"/>
      <c r="B13" s="120" t="str">
        <f>(修理１!B22)&amp;""</f>
        <v/>
      </c>
      <c r="C13" s="484" t="str">
        <f>(修理１!D22)&amp;""</f>
        <v/>
      </c>
      <c r="D13" s="485"/>
      <c r="E13" s="485"/>
      <c r="F13" s="485"/>
      <c r="G13" s="485"/>
      <c r="H13" s="485"/>
      <c r="I13" s="486"/>
      <c r="J13" s="121"/>
      <c r="K13" s="122" t="e">
        <f>VLOOKUP(B13,'[1]オイレス価格表24．11'!$A$4:$F$831,3,0)</f>
        <v>#N/A</v>
      </c>
      <c r="L13" s="123" t="e">
        <f>J13*K13</f>
        <v>#N/A</v>
      </c>
      <c r="M13" s="233"/>
      <c r="N13" s="222" t="s">
        <v>875</v>
      </c>
      <c r="O13" s="225" t="s">
        <v>105</v>
      </c>
      <c r="P13" s="99"/>
      <c r="Q13" s="99"/>
      <c r="R13" s="4" t="s">
        <v>84</v>
      </c>
      <c r="S13" s="401" t="s">
        <v>220</v>
      </c>
      <c r="T13" s="308"/>
      <c r="U13" s="402" t="s">
        <v>92</v>
      </c>
      <c r="V13" s="403"/>
      <c r="W13" s="38">
        <v>300</v>
      </c>
      <c r="X13" s="38">
        <v>350</v>
      </c>
      <c r="Y13" s="38">
        <v>400</v>
      </c>
      <c r="Z13" s="436" t="s">
        <v>268</v>
      </c>
      <c r="AA13" s="437"/>
      <c r="AB13" s="429" t="s">
        <v>69</v>
      </c>
      <c r="AC13" s="447"/>
      <c r="AD13" s="95">
        <v>300</v>
      </c>
      <c r="AE13" s="95"/>
      <c r="AF13" s="95">
        <v>380</v>
      </c>
    </row>
    <row r="14" spans="1:32" s="106" customFormat="1" ht="20.100000000000001" customHeight="1">
      <c r="A14" s="119"/>
      <c r="B14" s="120" t="str">
        <f>(修理１!B23)&amp;""</f>
        <v/>
      </c>
      <c r="C14" s="484" t="str">
        <f>(修理１!D23)&amp;""</f>
        <v/>
      </c>
      <c r="D14" s="485"/>
      <c r="E14" s="485"/>
      <c r="F14" s="485"/>
      <c r="G14" s="485"/>
      <c r="H14" s="485"/>
      <c r="I14" s="486"/>
      <c r="J14" s="121"/>
      <c r="K14" s="122" t="e">
        <f>VLOOKUP(B14,'[1]オイレス価格表24．11'!$A$4:$F$831,3,0)</f>
        <v>#N/A</v>
      </c>
      <c r="L14" s="123" t="e">
        <f t="shared" ref="L14:L32" si="0">J14*K14</f>
        <v>#N/A</v>
      </c>
      <c r="M14" s="234"/>
      <c r="N14" s="227" t="s">
        <v>876</v>
      </c>
      <c r="O14" s="225" t="s">
        <v>434</v>
      </c>
      <c r="P14" s="99"/>
      <c r="Q14" s="99"/>
      <c r="R14" s="4" t="s">
        <v>39</v>
      </c>
      <c r="S14" s="401" t="s">
        <v>221</v>
      </c>
      <c r="T14" s="308"/>
      <c r="U14" s="402" t="s">
        <v>91</v>
      </c>
      <c r="V14" s="403"/>
      <c r="W14" s="38">
        <v>300</v>
      </c>
      <c r="X14" s="38">
        <v>350</v>
      </c>
      <c r="Y14" s="38">
        <v>400</v>
      </c>
      <c r="Z14" s="436" t="s">
        <v>269</v>
      </c>
      <c r="AA14" s="437"/>
      <c r="AB14" s="429" t="s">
        <v>70</v>
      </c>
      <c r="AC14" s="447"/>
      <c r="AD14" s="95">
        <v>1900</v>
      </c>
      <c r="AE14" s="95"/>
      <c r="AF14" s="95">
        <v>2300</v>
      </c>
    </row>
    <row r="15" spans="1:32" s="106" customFormat="1" ht="20.100000000000001" customHeight="1">
      <c r="A15" s="119"/>
      <c r="B15" s="120" t="str">
        <f>(修理１!B24)&amp;""</f>
        <v/>
      </c>
      <c r="C15" s="484" t="str">
        <f>(修理１!D24)&amp;""</f>
        <v/>
      </c>
      <c r="D15" s="485"/>
      <c r="E15" s="485"/>
      <c r="F15" s="485"/>
      <c r="G15" s="485"/>
      <c r="H15" s="485"/>
      <c r="I15" s="486"/>
      <c r="J15" s="121"/>
      <c r="K15" s="122" t="e">
        <f>VLOOKUP(B15,'[1]オイレス価格表24．11'!$A$4:$F$831,3,0)</f>
        <v>#N/A</v>
      </c>
      <c r="L15" s="123" t="e">
        <f t="shared" si="0"/>
        <v>#N/A</v>
      </c>
      <c r="M15" s="233"/>
      <c r="N15" s="222" t="s">
        <v>874</v>
      </c>
      <c r="O15" s="223" t="s">
        <v>101</v>
      </c>
      <c r="P15" s="99"/>
      <c r="Q15" s="99"/>
      <c r="R15" s="4" t="s">
        <v>39</v>
      </c>
      <c r="S15" s="401" t="s">
        <v>222</v>
      </c>
      <c r="T15" s="308"/>
      <c r="U15" s="402" t="s">
        <v>90</v>
      </c>
      <c r="V15" s="403"/>
      <c r="W15" s="38">
        <v>300</v>
      </c>
      <c r="X15" s="38">
        <v>350</v>
      </c>
      <c r="Y15" s="38">
        <v>400</v>
      </c>
      <c r="Z15" s="436" t="s">
        <v>270</v>
      </c>
      <c r="AA15" s="437"/>
      <c r="AB15" s="429" t="s">
        <v>71</v>
      </c>
      <c r="AC15" s="447"/>
      <c r="AD15" s="95">
        <v>300</v>
      </c>
      <c r="AE15" s="95"/>
      <c r="AF15" s="95">
        <v>400</v>
      </c>
    </row>
    <row r="16" spans="1:32" s="106" customFormat="1" ht="20.100000000000001" customHeight="1">
      <c r="A16" s="119"/>
      <c r="B16" s="120" t="str">
        <f>(修理１!B25)&amp;""</f>
        <v/>
      </c>
      <c r="C16" s="484" t="str">
        <f>(修理１!D25)&amp;""</f>
        <v/>
      </c>
      <c r="D16" s="485"/>
      <c r="E16" s="485"/>
      <c r="F16" s="485"/>
      <c r="G16" s="485"/>
      <c r="H16" s="485"/>
      <c r="I16" s="486"/>
      <c r="J16" s="121"/>
      <c r="K16" s="122" t="e">
        <f>VLOOKUP(B16,'[1]オイレス価格表24．11'!$A$4:$F$831,3,0)</f>
        <v>#N/A</v>
      </c>
      <c r="L16" s="123" t="e">
        <f t="shared" si="0"/>
        <v>#N/A</v>
      </c>
      <c r="M16" s="233"/>
      <c r="N16" s="222" t="s">
        <v>868</v>
      </c>
      <c r="O16" s="223" t="s">
        <v>100</v>
      </c>
      <c r="P16" s="99"/>
      <c r="Q16" s="99"/>
      <c r="R16" s="4" t="s">
        <v>39</v>
      </c>
      <c r="S16" s="401" t="s">
        <v>1208</v>
      </c>
      <c r="T16" s="308"/>
      <c r="U16" s="402" t="s">
        <v>94</v>
      </c>
      <c r="V16" s="403"/>
      <c r="W16" s="38">
        <v>1500</v>
      </c>
      <c r="X16" s="38">
        <v>1800</v>
      </c>
      <c r="Y16" s="38">
        <v>2000</v>
      </c>
      <c r="Z16" s="436" t="s">
        <v>271</v>
      </c>
      <c r="AA16" s="437"/>
      <c r="AB16" s="429" t="s">
        <v>72</v>
      </c>
      <c r="AC16" s="447"/>
      <c r="AD16" s="95">
        <v>800</v>
      </c>
      <c r="AE16" s="95"/>
      <c r="AF16" s="95">
        <v>1000</v>
      </c>
    </row>
    <row r="17" spans="1:32" s="106" customFormat="1" ht="20.100000000000001" customHeight="1">
      <c r="A17" s="119"/>
      <c r="B17" s="120" t="str">
        <f>(修理１!B26)&amp;""</f>
        <v/>
      </c>
      <c r="C17" s="484" t="str">
        <f>(修理１!D26)&amp;""</f>
        <v/>
      </c>
      <c r="D17" s="485"/>
      <c r="E17" s="485"/>
      <c r="F17" s="485"/>
      <c r="G17" s="485"/>
      <c r="H17" s="485"/>
      <c r="I17" s="486"/>
      <c r="J17" s="121"/>
      <c r="K17" s="122" t="e">
        <f>VLOOKUP(B17,'[1]オイレス価格表24．11'!$A$4:$F$831,3,0)</f>
        <v>#N/A</v>
      </c>
      <c r="L17" s="123" t="e">
        <f t="shared" si="0"/>
        <v>#N/A</v>
      </c>
      <c r="M17" s="234"/>
      <c r="N17" s="227" t="s">
        <v>869</v>
      </c>
      <c r="O17" s="225" t="s">
        <v>205</v>
      </c>
      <c r="P17" s="99"/>
      <c r="Q17" s="99"/>
      <c r="R17" s="4" t="s">
        <v>39</v>
      </c>
      <c r="S17" s="401" t="s">
        <v>876</v>
      </c>
      <c r="T17" s="308"/>
      <c r="U17" s="402" t="s">
        <v>176</v>
      </c>
      <c r="V17" s="403"/>
      <c r="W17" s="38">
        <v>1700</v>
      </c>
      <c r="X17" s="38">
        <v>1900</v>
      </c>
      <c r="Y17" s="38">
        <v>2100</v>
      </c>
      <c r="Z17" s="436" t="s">
        <v>272</v>
      </c>
      <c r="AA17" s="437"/>
      <c r="AB17" s="409" t="s">
        <v>73</v>
      </c>
      <c r="AC17" s="449"/>
      <c r="AD17" s="95">
        <v>1350</v>
      </c>
      <c r="AE17" s="95"/>
      <c r="AF17" s="95">
        <v>1700</v>
      </c>
    </row>
    <row r="18" spans="1:32" s="106" customFormat="1" ht="20.100000000000001" customHeight="1">
      <c r="A18" s="119"/>
      <c r="B18" s="120" t="str">
        <f>(修理１!B27)&amp;""</f>
        <v/>
      </c>
      <c r="C18" s="484" t="str">
        <f>(修理１!D27)&amp;""</f>
        <v/>
      </c>
      <c r="D18" s="485"/>
      <c r="E18" s="485"/>
      <c r="F18" s="485"/>
      <c r="G18" s="485"/>
      <c r="H18" s="485"/>
      <c r="I18" s="486"/>
      <c r="J18" s="121"/>
      <c r="K18" s="122" t="e">
        <f>VLOOKUP(B18,'[1]オイレス価格表24．11'!$A$4:$F$831,3,0)</f>
        <v>#N/A</v>
      </c>
      <c r="L18" s="123" t="e">
        <f t="shared" si="0"/>
        <v>#N/A</v>
      </c>
      <c r="M18" s="233"/>
      <c r="N18" s="222" t="s">
        <v>870</v>
      </c>
      <c r="O18" s="223" t="s">
        <v>66</v>
      </c>
      <c r="P18" s="99"/>
      <c r="Q18" s="99"/>
      <c r="R18" s="4" t="s">
        <v>39</v>
      </c>
      <c r="S18" s="401" t="s">
        <v>225</v>
      </c>
      <c r="T18" s="308"/>
      <c r="U18" s="402" t="s">
        <v>95</v>
      </c>
      <c r="V18" s="403"/>
      <c r="W18" s="38">
        <v>2000</v>
      </c>
      <c r="X18" s="38">
        <v>2200</v>
      </c>
      <c r="Y18" s="38">
        <v>2500</v>
      </c>
      <c r="Z18" s="436" t="s">
        <v>273</v>
      </c>
      <c r="AA18" s="437"/>
      <c r="AB18" s="429" t="s">
        <v>74</v>
      </c>
      <c r="AC18" s="447"/>
      <c r="AD18" s="95">
        <v>100</v>
      </c>
      <c r="AE18" s="95"/>
      <c r="AF18" s="95">
        <v>120</v>
      </c>
    </row>
    <row r="19" spans="1:32" s="106" customFormat="1" ht="20.100000000000001" customHeight="1">
      <c r="A19" s="119"/>
      <c r="B19" s="120" t="str">
        <f>(修理１!B28)&amp;""</f>
        <v/>
      </c>
      <c r="C19" s="484" t="str">
        <f>(修理１!D28)&amp;""</f>
        <v/>
      </c>
      <c r="D19" s="485"/>
      <c r="E19" s="485"/>
      <c r="F19" s="485"/>
      <c r="G19" s="485"/>
      <c r="H19" s="485"/>
      <c r="I19" s="486"/>
      <c r="J19" s="121"/>
      <c r="K19" s="122" t="e">
        <f>VLOOKUP(B19,'[1]オイレス価格表24．11'!$A$4:$F$831,3,0)</f>
        <v>#N/A</v>
      </c>
      <c r="L19" s="123" t="e">
        <f t="shared" si="0"/>
        <v>#N/A</v>
      </c>
      <c r="M19" s="233"/>
      <c r="N19" s="222" t="s">
        <v>871</v>
      </c>
      <c r="O19" s="223" t="s">
        <v>206</v>
      </c>
      <c r="P19" s="99"/>
      <c r="Q19" s="99"/>
      <c r="R19" s="4" t="s">
        <v>39</v>
      </c>
      <c r="S19" s="401" t="s">
        <v>226</v>
      </c>
      <c r="T19" s="308"/>
      <c r="U19" s="402" t="s">
        <v>96</v>
      </c>
      <c r="V19" s="403"/>
      <c r="W19" s="38">
        <v>45500</v>
      </c>
      <c r="X19" s="38">
        <v>50000</v>
      </c>
      <c r="Y19" s="38">
        <v>55200</v>
      </c>
      <c r="Z19" s="436" t="s">
        <v>274</v>
      </c>
      <c r="AA19" s="437"/>
      <c r="AB19" s="409" t="s">
        <v>75</v>
      </c>
      <c r="AC19" s="449"/>
      <c r="AD19" s="95">
        <v>260</v>
      </c>
      <c r="AE19" s="95"/>
      <c r="AF19" s="95">
        <v>320</v>
      </c>
    </row>
    <row r="20" spans="1:32" s="106" customFormat="1" ht="20.100000000000001" customHeight="1">
      <c r="A20" s="119"/>
      <c r="B20" s="120" t="str">
        <f>(修理１!B29)&amp;""</f>
        <v/>
      </c>
      <c r="C20" s="484" t="str">
        <f>(修理１!D29)&amp;""</f>
        <v/>
      </c>
      <c r="D20" s="485"/>
      <c r="E20" s="485"/>
      <c r="F20" s="485"/>
      <c r="G20" s="485"/>
      <c r="H20" s="485"/>
      <c r="I20" s="486"/>
      <c r="J20" s="121"/>
      <c r="K20" s="122" t="e">
        <f>VLOOKUP(B20,'[1]オイレス価格表24．11'!$A$4:$F$831,3,0)</f>
        <v>#N/A</v>
      </c>
      <c r="L20" s="123" t="e">
        <f t="shared" si="0"/>
        <v>#N/A</v>
      </c>
      <c r="M20" s="233"/>
      <c r="N20" s="222" t="s">
        <v>872</v>
      </c>
      <c r="O20" s="223" t="s">
        <v>261</v>
      </c>
      <c r="P20" s="99"/>
      <c r="Q20" s="99"/>
      <c r="R20" s="4" t="s">
        <v>39</v>
      </c>
      <c r="S20" s="401" t="s">
        <v>1209</v>
      </c>
      <c r="T20" s="308"/>
      <c r="U20" s="415" t="s">
        <v>249</v>
      </c>
      <c r="V20" s="416"/>
      <c r="W20" s="38">
        <v>180</v>
      </c>
      <c r="X20" s="38">
        <v>220</v>
      </c>
      <c r="Y20" s="38">
        <v>250</v>
      </c>
      <c r="Z20" s="436" t="s">
        <v>275</v>
      </c>
      <c r="AA20" s="437"/>
      <c r="AB20" s="409" t="s">
        <v>76</v>
      </c>
      <c r="AC20" s="449"/>
      <c r="AD20" s="95">
        <v>210</v>
      </c>
      <c r="AE20" s="95"/>
      <c r="AF20" s="95">
        <v>250</v>
      </c>
    </row>
    <row r="21" spans="1:32" s="106" customFormat="1" ht="20.100000000000001" customHeight="1">
      <c r="A21" s="119"/>
      <c r="B21" s="120" t="str">
        <f>(修理１!B30)&amp;""</f>
        <v/>
      </c>
      <c r="C21" s="484" t="str">
        <f>(修理１!D30)&amp;""</f>
        <v/>
      </c>
      <c r="D21" s="485"/>
      <c r="E21" s="485"/>
      <c r="F21" s="485"/>
      <c r="G21" s="485"/>
      <c r="H21" s="485"/>
      <c r="I21" s="486"/>
      <c r="J21" s="121"/>
      <c r="K21" s="122" t="e">
        <f>VLOOKUP(B21,'[1]オイレス価格表24．11'!$A$4:$F$831,3,0)</f>
        <v>#N/A</v>
      </c>
      <c r="L21" s="123" t="e">
        <f t="shared" si="0"/>
        <v>#N/A</v>
      </c>
      <c r="M21" s="233"/>
      <c r="N21" s="222" t="s">
        <v>873</v>
      </c>
      <c r="O21" s="223" t="s">
        <v>207</v>
      </c>
      <c r="P21" s="99"/>
      <c r="Q21" s="99"/>
      <c r="R21" s="4" t="s">
        <v>85</v>
      </c>
      <c r="S21" s="401" t="s">
        <v>907</v>
      </c>
      <c r="T21" s="308"/>
      <c r="U21" s="402" t="s">
        <v>248</v>
      </c>
      <c r="V21" s="403"/>
      <c r="W21" s="38">
        <v>1000</v>
      </c>
      <c r="X21" s="38">
        <v>1300</v>
      </c>
      <c r="Y21" s="38">
        <v>1500</v>
      </c>
      <c r="Z21" s="436" t="s">
        <v>284</v>
      </c>
      <c r="AA21" s="437"/>
      <c r="AB21" s="429" t="s">
        <v>288</v>
      </c>
      <c r="AC21" s="447"/>
      <c r="AD21" s="95">
        <v>700</v>
      </c>
      <c r="AE21" s="95"/>
      <c r="AF21" s="95">
        <v>850</v>
      </c>
    </row>
    <row r="22" spans="1:32" s="106" customFormat="1" ht="20.100000000000001" customHeight="1">
      <c r="A22" s="119"/>
      <c r="B22" s="120" t="str">
        <f>(修理１!B31)&amp;""</f>
        <v/>
      </c>
      <c r="C22" s="484" t="str">
        <f>(修理１!D31)&amp;""</f>
        <v/>
      </c>
      <c r="D22" s="485"/>
      <c r="E22" s="485"/>
      <c r="F22" s="485"/>
      <c r="G22" s="485"/>
      <c r="H22" s="485"/>
      <c r="I22" s="486"/>
      <c r="J22" s="121"/>
      <c r="K22" s="122" t="e">
        <f>VLOOKUP(B22,'[1]オイレス価格表24．11'!$A$4:$F$831,3,0)</f>
        <v>#N/A</v>
      </c>
      <c r="L22" s="123" t="e">
        <f t="shared" si="0"/>
        <v>#N/A</v>
      </c>
      <c r="M22" s="233"/>
      <c r="N22" s="222" t="s">
        <v>877</v>
      </c>
      <c r="O22" s="223" t="s">
        <v>62</v>
      </c>
      <c r="P22" s="99"/>
      <c r="Q22" s="99"/>
      <c r="R22" s="4" t="s">
        <v>85</v>
      </c>
      <c r="S22" s="401" t="s">
        <v>908</v>
      </c>
      <c r="T22" s="308"/>
      <c r="U22" s="415" t="s">
        <v>248</v>
      </c>
      <c r="V22" s="416"/>
      <c r="W22" s="38">
        <v>1500</v>
      </c>
      <c r="X22" s="38">
        <v>1700</v>
      </c>
      <c r="Y22" s="38">
        <v>1800</v>
      </c>
      <c r="Z22" s="436" t="s">
        <v>276</v>
      </c>
      <c r="AA22" s="437"/>
      <c r="AB22" s="429" t="s">
        <v>68</v>
      </c>
      <c r="AC22" s="447"/>
      <c r="AD22" s="95">
        <v>200</v>
      </c>
      <c r="AE22" s="95"/>
      <c r="AF22" s="95">
        <v>250</v>
      </c>
    </row>
    <row r="23" spans="1:32" s="106" customFormat="1" ht="20.100000000000001" customHeight="1">
      <c r="A23" s="119"/>
      <c r="B23" s="120" t="str">
        <f>(修理１!B32)&amp;""</f>
        <v/>
      </c>
      <c r="C23" s="484" t="str">
        <f>(修理１!D32)&amp;""</f>
        <v/>
      </c>
      <c r="D23" s="485"/>
      <c r="E23" s="485"/>
      <c r="F23" s="485"/>
      <c r="G23" s="485"/>
      <c r="H23" s="485"/>
      <c r="I23" s="486"/>
      <c r="J23" s="121"/>
      <c r="K23" s="122" t="e">
        <f>VLOOKUP(B23,'[1]オイレス価格表24．11'!$A$4:$F$831,3,0)</f>
        <v>#N/A</v>
      </c>
      <c r="L23" s="123" t="e">
        <f t="shared" si="0"/>
        <v>#N/A</v>
      </c>
      <c r="M23" s="234"/>
      <c r="N23" s="227" t="s">
        <v>878</v>
      </c>
      <c r="O23" s="225" t="s">
        <v>435</v>
      </c>
      <c r="P23" s="99"/>
      <c r="Q23" s="99"/>
      <c r="R23" s="4" t="s">
        <v>85</v>
      </c>
      <c r="S23" s="401" t="s">
        <v>909</v>
      </c>
      <c r="T23" s="308"/>
      <c r="U23" s="402" t="s">
        <v>248</v>
      </c>
      <c r="V23" s="403"/>
      <c r="W23" s="38">
        <v>1800</v>
      </c>
      <c r="X23" s="38">
        <v>2200</v>
      </c>
      <c r="Y23" s="38">
        <v>2500</v>
      </c>
      <c r="Z23" s="436" t="s">
        <v>270</v>
      </c>
      <c r="AA23" s="437"/>
      <c r="AB23" s="429" t="s">
        <v>69</v>
      </c>
      <c r="AC23" s="447"/>
      <c r="AD23" s="95">
        <v>260</v>
      </c>
      <c r="AE23" s="95"/>
      <c r="AF23" s="95">
        <v>330</v>
      </c>
    </row>
    <row r="24" spans="1:32" s="106" customFormat="1" ht="20.100000000000001" customHeight="1">
      <c r="A24" s="119"/>
      <c r="B24" s="120" t="str">
        <f>(修理１!B33)&amp;""</f>
        <v/>
      </c>
      <c r="C24" s="484" t="str">
        <f>(修理１!D33)&amp;""</f>
        <v/>
      </c>
      <c r="D24" s="485"/>
      <c r="E24" s="485"/>
      <c r="F24" s="485"/>
      <c r="G24" s="485"/>
      <c r="H24" s="485"/>
      <c r="I24" s="486"/>
      <c r="J24" s="121"/>
      <c r="K24" s="122" t="e">
        <f>VLOOKUP(B24,'[1]オイレス価格表24．11'!$A$4:$F$831,3,0)</f>
        <v>#N/A</v>
      </c>
      <c r="L24" s="123" t="e">
        <f t="shared" si="0"/>
        <v>#N/A</v>
      </c>
      <c r="M24" s="233"/>
      <c r="N24" s="222" t="s">
        <v>879</v>
      </c>
      <c r="O24" s="223" t="s">
        <v>63</v>
      </c>
      <c r="P24" s="99"/>
      <c r="Q24" s="99"/>
      <c r="R24" s="4" t="s">
        <v>85</v>
      </c>
      <c r="S24" s="401" t="s">
        <v>910</v>
      </c>
      <c r="T24" s="308"/>
      <c r="U24" s="415" t="s">
        <v>248</v>
      </c>
      <c r="V24" s="416"/>
      <c r="W24" s="38">
        <v>2500</v>
      </c>
      <c r="X24" s="38">
        <v>3000</v>
      </c>
      <c r="Y24" s="38">
        <v>3500</v>
      </c>
      <c r="Z24" s="436" t="s">
        <v>277</v>
      </c>
      <c r="AA24" s="437"/>
      <c r="AB24" s="429" t="s">
        <v>70</v>
      </c>
      <c r="AC24" s="447"/>
      <c r="AD24" s="95">
        <v>1200</v>
      </c>
      <c r="AE24" s="95"/>
      <c r="AF24" s="95">
        <v>1500</v>
      </c>
    </row>
    <row r="25" spans="1:32" s="106" customFormat="1" ht="20.100000000000001" customHeight="1">
      <c r="A25" s="124"/>
      <c r="B25" s="120" t="str">
        <f>(修理１!B34)&amp;""</f>
        <v/>
      </c>
      <c r="C25" s="484" t="str">
        <f>(修理１!D34)&amp;""</f>
        <v/>
      </c>
      <c r="D25" s="485"/>
      <c r="E25" s="485"/>
      <c r="F25" s="485"/>
      <c r="G25" s="485"/>
      <c r="H25" s="485"/>
      <c r="I25" s="486"/>
      <c r="J25" s="121"/>
      <c r="K25" s="122" t="e">
        <f>VLOOKUP(B25,'[1]オイレス価格表24．11'!$A$4:$F$831,3,0)</f>
        <v>#N/A</v>
      </c>
      <c r="L25" s="123" t="e">
        <f t="shared" si="0"/>
        <v>#N/A</v>
      </c>
      <c r="M25" s="234"/>
      <c r="N25" s="227" t="s">
        <v>880</v>
      </c>
      <c r="O25" s="225" t="s">
        <v>436</v>
      </c>
      <c r="P25" s="99"/>
      <c r="Q25" s="99"/>
      <c r="R25" s="4" t="s">
        <v>85</v>
      </c>
      <c r="S25" s="401" t="s">
        <v>911</v>
      </c>
      <c r="T25" s="308"/>
      <c r="U25" s="402" t="s">
        <v>248</v>
      </c>
      <c r="V25" s="403"/>
      <c r="W25" s="38">
        <v>4500</v>
      </c>
      <c r="X25" s="38">
        <v>5500</v>
      </c>
      <c r="Y25" s="38">
        <v>6000</v>
      </c>
      <c r="Z25" s="436" t="s">
        <v>270</v>
      </c>
      <c r="AA25" s="437"/>
      <c r="AB25" s="429" t="s">
        <v>71</v>
      </c>
      <c r="AC25" s="447"/>
      <c r="AD25" s="95">
        <v>260</v>
      </c>
      <c r="AE25" s="95"/>
      <c r="AF25" s="95">
        <v>330</v>
      </c>
    </row>
    <row r="26" spans="1:32" s="106" customFormat="1" ht="20.100000000000001" customHeight="1">
      <c r="A26" s="119"/>
      <c r="B26" s="120" t="str">
        <f>(修理１!B35)&amp;""</f>
        <v/>
      </c>
      <c r="C26" s="484" t="str">
        <f>(修理１!D35)&amp;""</f>
        <v/>
      </c>
      <c r="D26" s="485"/>
      <c r="E26" s="485"/>
      <c r="F26" s="485"/>
      <c r="G26" s="485"/>
      <c r="H26" s="485"/>
      <c r="I26" s="486"/>
      <c r="J26" s="121"/>
      <c r="K26" s="122" t="e">
        <f>VLOOKUP(B26,'[1]オイレス価格表24．11'!$A$4:$F$831,3,0)</f>
        <v>#N/A</v>
      </c>
      <c r="L26" s="123" t="e">
        <f t="shared" si="0"/>
        <v>#N/A</v>
      </c>
      <c r="M26" s="234"/>
      <c r="N26" s="227" t="s">
        <v>881</v>
      </c>
      <c r="O26" s="225" t="s">
        <v>64</v>
      </c>
      <c r="P26" s="99"/>
      <c r="Q26" s="99"/>
      <c r="R26" s="4" t="s">
        <v>84</v>
      </c>
      <c r="S26" s="419" t="s">
        <v>904</v>
      </c>
      <c r="T26" s="420"/>
      <c r="U26" s="415" t="s">
        <v>354</v>
      </c>
      <c r="V26" s="416"/>
      <c r="W26" s="38">
        <v>1900</v>
      </c>
      <c r="X26" s="38">
        <v>2100</v>
      </c>
      <c r="Y26" s="38">
        <v>2300</v>
      </c>
      <c r="Z26" s="436" t="s">
        <v>278</v>
      </c>
      <c r="AA26" s="437"/>
      <c r="AB26" s="429" t="s">
        <v>72</v>
      </c>
      <c r="AC26" s="447"/>
      <c r="AD26" s="95">
        <v>800</v>
      </c>
      <c r="AE26" s="95"/>
      <c r="AF26" s="95">
        <v>1000</v>
      </c>
    </row>
    <row r="27" spans="1:32" s="106" customFormat="1" ht="20.100000000000001" customHeight="1">
      <c r="A27" s="119"/>
      <c r="B27" s="120" t="str">
        <f>(修理１!B36)&amp;""</f>
        <v/>
      </c>
      <c r="C27" s="484" t="str">
        <f>(修理１!D36)&amp;""</f>
        <v/>
      </c>
      <c r="D27" s="485"/>
      <c r="E27" s="485"/>
      <c r="F27" s="485"/>
      <c r="G27" s="485"/>
      <c r="H27" s="485"/>
      <c r="I27" s="486"/>
      <c r="J27" s="121"/>
      <c r="K27" s="122" t="e">
        <f>VLOOKUP(B27,'[1]オイレス価格表24．11'!$A$4:$F$831,3,0)</f>
        <v>#N/A</v>
      </c>
      <c r="L27" s="123" t="e">
        <f t="shared" si="0"/>
        <v>#N/A</v>
      </c>
      <c r="M27" s="234"/>
      <c r="N27" s="227" t="s">
        <v>882</v>
      </c>
      <c r="O27" s="225" t="s">
        <v>437</v>
      </c>
      <c r="P27" s="99"/>
      <c r="Q27" s="99"/>
      <c r="R27" s="4" t="s">
        <v>84</v>
      </c>
      <c r="S27" s="398" t="s">
        <v>905</v>
      </c>
      <c r="T27" s="325"/>
      <c r="U27" s="402" t="s">
        <v>354</v>
      </c>
      <c r="V27" s="403"/>
      <c r="W27" s="38">
        <v>1900</v>
      </c>
      <c r="X27" s="38">
        <v>2100</v>
      </c>
      <c r="Y27" s="38">
        <v>2300</v>
      </c>
      <c r="Z27" s="436" t="s">
        <v>279</v>
      </c>
      <c r="AA27" s="437"/>
      <c r="AB27" s="429" t="s">
        <v>80</v>
      </c>
      <c r="AC27" s="447"/>
      <c r="AD27" s="95"/>
      <c r="AE27" s="95"/>
      <c r="AF27" s="95"/>
    </row>
    <row r="28" spans="1:32" s="106" customFormat="1" ht="20.100000000000001" customHeight="1">
      <c r="A28" s="119"/>
      <c r="B28" s="120" t="str">
        <f>(修理１!B37)&amp;""</f>
        <v/>
      </c>
      <c r="C28" s="484" t="str">
        <f>(修理１!D37)&amp;""</f>
        <v/>
      </c>
      <c r="D28" s="485"/>
      <c r="E28" s="485"/>
      <c r="F28" s="485"/>
      <c r="G28" s="485"/>
      <c r="H28" s="485"/>
      <c r="I28" s="486"/>
      <c r="J28" s="121"/>
      <c r="K28" s="122" t="e">
        <f>VLOOKUP(B28,'[1]オイレス価格表24．11'!$A$4:$F$831,3,0)</f>
        <v>#N/A</v>
      </c>
      <c r="L28" s="123" t="e">
        <f t="shared" si="0"/>
        <v>#N/A</v>
      </c>
      <c r="M28" s="234"/>
      <c r="N28" s="227" t="s">
        <v>883</v>
      </c>
      <c r="O28" s="225" t="s">
        <v>390</v>
      </c>
      <c r="P28" s="99"/>
      <c r="Q28" s="99"/>
      <c r="R28" s="4" t="s">
        <v>84</v>
      </c>
      <c r="S28" s="423" t="s">
        <v>906</v>
      </c>
      <c r="T28" s="417"/>
      <c r="U28" s="415" t="s">
        <v>354</v>
      </c>
      <c r="V28" s="416"/>
      <c r="W28" s="38">
        <v>2000</v>
      </c>
      <c r="X28" s="38">
        <v>2200</v>
      </c>
      <c r="Y28" s="38">
        <v>2400</v>
      </c>
      <c r="Z28" s="436" t="s">
        <v>280</v>
      </c>
      <c r="AA28" s="437"/>
      <c r="AB28" s="429" t="s">
        <v>71</v>
      </c>
      <c r="AC28" s="447"/>
      <c r="AD28" s="95">
        <v>400</v>
      </c>
      <c r="AE28" s="95"/>
      <c r="AF28" s="95">
        <v>500</v>
      </c>
    </row>
    <row r="29" spans="1:32" s="106" customFormat="1" ht="20.100000000000001" customHeight="1">
      <c r="A29" s="119"/>
      <c r="B29" s="120" t="str">
        <f>(修理１!B38)&amp;""</f>
        <v/>
      </c>
      <c r="C29" s="484" t="str">
        <f>(修理１!D38)&amp;""</f>
        <v/>
      </c>
      <c r="D29" s="485"/>
      <c r="E29" s="485"/>
      <c r="F29" s="485"/>
      <c r="G29" s="485"/>
      <c r="H29" s="485"/>
      <c r="I29" s="486"/>
      <c r="J29" s="121"/>
      <c r="K29" s="122" t="e">
        <f>VLOOKUP(B29,'[1]オイレス価格表24．11'!$A$4:$F$831,3,0)</f>
        <v>#N/A</v>
      </c>
      <c r="L29" s="123" t="e">
        <f t="shared" si="0"/>
        <v>#N/A</v>
      </c>
      <c r="M29" s="234"/>
      <c r="N29" s="227" t="s">
        <v>884</v>
      </c>
      <c r="O29" s="225" t="s">
        <v>390</v>
      </c>
      <c r="P29" s="99"/>
      <c r="Q29" s="99"/>
      <c r="R29" s="4" t="s">
        <v>84</v>
      </c>
      <c r="S29" s="401" t="s">
        <v>230</v>
      </c>
      <c r="T29" s="308"/>
      <c r="U29" s="402" t="s">
        <v>97</v>
      </c>
      <c r="V29" s="403"/>
      <c r="W29" s="38">
        <v>650</v>
      </c>
      <c r="X29" s="38">
        <v>700</v>
      </c>
      <c r="Y29" s="38">
        <v>800</v>
      </c>
      <c r="Z29" s="436" t="s">
        <v>281</v>
      </c>
      <c r="AA29" s="437"/>
      <c r="AB29" s="429" t="s">
        <v>72</v>
      </c>
      <c r="AC29" s="447"/>
      <c r="AD29" s="95">
        <v>550</v>
      </c>
      <c r="AE29" s="95"/>
      <c r="AF29" s="95">
        <v>680</v>
      </c>
    </row>
    <row r="30" spans="1:32" s="106" customFormat="1" ht="20.100000000000001" customHeight="1">
      <c r="A30" s="119"/>
      <c r="B30" s="120" t="str">
        <f>(修理１!B39)&amp;""</f>
        <v/>
      </c>
      <c r="C30" s="484" t="str">
        <f>(修理１!D39)&amp;""</f>
        <v/>
      </c>
      <c r="D30" s="485"/>
      <c r="E30" s="485"/>
      <c r="F30" s="485"/>
      <c r="G30" s="485"/>
      <c r="H30" s="485"/>
      <c r="I30" s="486"/>
      <c r="J30" s="121"/>
      <c r="K30" s="122" t="e">
        <f>VLOOKUP(B30,'[1]オイレス価格表24．11'!$A$4:$F$831,3,0)</f>
        <v>#N/A</v>
      </c>
      <c r="L30" s="123" t="e">
        <f t="shared" si="0"/>
        <v>#N/A</v>
      </c>
      <c r="M30" s="233"/>
      <c r="N30" s="222" t="s">
        <v>885</v>
      </c>
      <c r="O30" s="223" t="s">
        <v>65</v>
      </c>
      <c r="P30" s="99"/>
      <c r="Q30" s="99"/>
      <c r="R30" s="4" t="s">
        <v>84</v>
      </c>
      <c r="S30" s="421" t="s">
        <v>231</v>
      </c>
      <c r="T30" s="422"/>
      <c r="U30" s="415" t="s">
        <v>98</v>
      </c>
      <c r="V30" s="416"/>
      <c r="W30" s="38">
        <v>500</v>
      </c>
      <c r="X30" s="38">
        <v>600</v>
      </c>
      <c r="Y30" s="38">
        <v>600</v>
      </c>
      <c r="Z30" s="436" t="s">
        <v>282</v>
      </c>
      <c r="AA30" s="437"/>
      <c r="AB30" s="429" t="s">
        <v>81</v>
      </c>
      <c r="AC30" s="447"/>
      <c r="AD30" s="95">
        <v>300</v>
      </c>
      <c r="AE30" s="95"/>
      <c r="AF30" s="95">
        <v>550</v>
      </c>
    </row>
    <row r="31" spans="1:32" s="106" customFormat="1" ht="20.100000000000001" customHeight="1">
      <c r="A31" s="119"/>
      <c r="B31" s="120" t="str">
        <f>(修理１!B40)&amp;""</f>
        <v/>
      </c>
      <c r="C31" s="484" t="str">
        <f>(修理１!D40)&amp;""</f>
        <v/>
      </c>
      <c r="D31" s="485"/>
      <c r="E31" s="485"/>
      <c r="F31" s="485"/>
      <c r="G31" s="485"/>
      <c r="H31" s="485"/>
      <c r="I31" s="486"/>
      <c r="J31" s="121"/>
      <c r="K31" s="122" t="e">
        <f>VLOOKUP(B31,'[1]オイレス価格表24．11'!$A$4:$F$831,3,0)</f>
        <v>#N/A</v>
      </c>
      <c r="L31" s="123" t="e">
        <f t="shared" si="0"/>
        <v>#N/A</v>
      </c>
      <c r="M31" s="233"/>
      <c r="N31" s="222" t="s">
        <v>886</v>
      </c>
      <c r="O31" s="223" t="s">
        <v>65</v>
      </c>
      <c r="P31" s="99"/>
      <c r="Q31" s="99"/>
      <c r="R31" s="4" t="s">
        <v>84</v>
      </c>
      <c r="S31" s="401" t="s">
        <v>232</v>
      </c>
      <c r="T31" s="308"/>
      <c r="U31" s="402" t="s">
        <v>98</v>
      </c>
      <c r="V31" s="403"/>
      <c r="W31" s="38">
        <v>500</v>
      </c>
      <c r="X31" s="38">
        <v>600</v>
      </c>
      <c r="Y31" s="38">
        <v>600</v>
      </c>
      <c r="Z31" s="436" t="s">
        <v>283</v>
      </c>
      <c r="AA31" s="437"/>
      <c r="AB31" s="429" t="s">
        <v>82</v>
      </c>
      <c r="AC31" s="447"/>
      <c r="AD31" s="95">
        <v>200</v>
      </c>
      <c r="AE31" s="95"/>
      <c r="AF31" s="95"/>
    </row>
    <row r="32" spans="1:32" s="106" customFormat="1" ht="20.100000000000001" customHeight="1">
      <c r="A32" s="119"/>
      <c r="B32" s="120" t="str">
        <f>(修理１!B41)&amp;""</f>
        <v/>
      </c>
      <c r="C32" s="484" t="str">
        <f>(修理１!D41)&amp;""</f>
        <v/>
      </c>
      <c r="D32" s="485"/>
      <c r="E32" s="485"/>
      <c r="F32" s="485"/>
      <c r="G32" s="485"/>
      <c r="H32" s="485"/>
      <c r="I32" s="486"/>
      <c r="J32" s="121"/>
      <c r="K32" s="122" t="e">
        <f>VLOOKUP(B32,'[1]オイレス価格表24．11'!$A$4:$F$831,3,0)</f>
        <v>#N/A</v>
      </c>
      <c r="L32" s="123" t="e">
        <f t="shared" si="0"/>
        <v>#N/A</v>
      </c>
      <c r="M32" s="233"/>
      <c r="N32" s="222" t="s">
        <v>887</v>
      </c>
      <c r="O32" s="223" t="s">
        <v>65</v>
      </c>
      <c r="P32" s="99"/>
      <c r="Q32" s="99"/>
      <c r="R32" s="7" t="s">
        <v>83</v>
      </c>
      <c r="S32" s="401" t="s">
        <v>320</v>
      </c>
      <c r="T32" s="308"/>
      <c r="U32" s="402" t="s">
        <v>321</v>
      </c>
      <c r="V32" s="403"/>
      <c r="W32" s="38">
        <v>2100</v>
      </c>
      <c r="X32" s="38">
        <v>2400</v>
      </c>
      <c r="Y32" s="38">
        <v>2600</v>
      </c>
      <c r="Z32" s="436" t="s">
        <v>372</v>
      </c>
      <c r="AA32" s="437"/>
      <c r="AB32" s="429" t="s">
        <v>81</v>
      </c>
      <c r="AC32" s="447"/>
      <c r="AD32" s="96"/>
      <c r="AE32" s="95"/>
      <c r="AF32" s="95"/>
    </row>
    <row r="33" spans="1:32" s="106" customFormat="1" ht="19.5" customHeight="1">
      <c r="J33" s="125" t="s">
        <v>463</v>
      </c>
      <c r="K33" s="123" t="e">
        <f>SUM(K13:K32)</f>
        <v>#N/A</v>
      </c>
      <c r="L33" s="123" t="e">
        <f>SUM(L13:L32)</f>
        <v>#N/A</v>
      </c>
      <c r="M33" s="233"/>
      <c r="N33" s="222" t="s">
        <v>888</v>
      </c>
      <c r="O33" s="223" t="s">
        <v>65</v>
      </c>
      <c r="P33" s="99"/>
      <c r="Q33" s="99"/>
      <c r="R33" s="4" t="s">
        <v>84</v>
      </c>
      <c r="S33" s="401" t="s">
        <v>234</v>
      </c>
      <c r="T33" s="308"/>
      <c r="U33" s="402" t="s">
        <v>250</v>
      </c>
      <c r="V33" s="403"/>
      <c r="W33" s="38">
        <v>2500</v>
      </c>
      <c r="X33" s="38">
        <v>2700</v>
      </c>
      <c r="Y33" s="38">
        <v>3000</v>
      </c>
      <c r="Z33" s="436" t="s">
        <v>287</v>
      </c>
      <c r="AA33" s="437"/>
      <c r="AB33" s="429" t="s">
        <v>288</v>
      </c>
      <c r="AC33" s="447"/>
      <c r="AD33" s="96">
        <v>700</v>
      </c>
      <c r="AE33" s="95"/>
      <c r="AF33" s="95">
        <v>850</v>
      </c>
    </row>
    <row r="34" spans="1:32" s="106" customFormat="1" ht="4.5" customHeight="1">
      <c r="J34" s="107"/>
      <c r="N34" s="222" t="s">
        <v>889</v>
      </c>
      <c r="O34" s="223" t="s">
        <v>65</v>
      </c>
      <c r="P34" s="99"/>
      <c r="Q34" s="99"/>
      <c r="R34" s="4" t="s">
        <v>84</v>
      </c>
      <c r="S34" s="421" t="s">
        <v>235</v>
      </c>
      <c r="T34" s="422"/>
      <c r="U34" s="415" t="s">
        <v>250</v>
      </c>
      <c r="V34" s="416"/>
      <c r="W34" s="38">
        <v>2500</v>
      </c>
      <c r="X34" s="38">
        <v>2700</v>
      </c>
      <c r="Y34" s="38">
        <v>3000</v>
      </c>
      <c r="Z34" s="436" t="s">
        <v>345</v>
      </c>
      <c r="AA34" s="437"/>
      <c r="AB34" s="405" t="s">
        <v>74</v>
      </c>
      <c r="AC34" s="446"/>
      <c r="AD34" s="96">
        <v>300</v>
      </c>
      <c r="AE34" s="95"/>
      <c r="AF34" s="95"/>
    </row>
    <row r="35" spans="1:32" s="106" customFormat="1" ht="4.5" customHeight="1">
      <c r="J35" s="107"/>
      <c r="N35" s="222" t="s">
        <v>890</v>
      </c>
      <c r="O35" s="223" t="s">
        <v>65</v>
      </c>
      <c r="P35" s="99"/>
      <c r="Q35" s="99"/>
      <c r="R35" s="4" t="s">
        <v>84</v>
      </c>
      <c r="S35" s="401" t="s">
        <v>236</v>
      </c>
      <c r="T35" s="308"/>
      <c r="U35" s="402" t="s">
        <v>250</v>
      </c>
      <c r="V35" s="403"/>
      <c r="W35" s="38">
        <v>2500</v>
      </c>
      <c r="X35" s="38">
        <v>2800</v>
      </c>
      <c r="Y35" s="38">
        <v>3000</v>
      </c>
      <c r="Z35" s="436" t="s">
        <v>286</v>
      </c>
      <c r="AA35" s="437"/>
      <c r="AB35" s="405"/>
      <c r="AC35" s="446"/>
      <c r="AD35" s="96">
        <v>500</v>
      </c>
      <c r="AE35" s="95"/>
      <c r="AF35" s="95">
        <v>600</v>
      </c>
    </row>
    <row r="36" spans="1:32" s="106" customFormat="1" ht="19.5" customHeight="1">
      <c r="A36" s="115" t="s">
        <v>457</v>
      </c>
      <c r="B36" s="116"/>
      <c r="C36" s="128"/>
      <c r="D36" s="344" t="s">
        <v>466</v>
      </c>
      <c r="E36" s="345"/>
      <c r="F36" s="345"/>
      <c r="G36" s="346"/>
      <c r="J36" s="107"/>
      <c r="N36" s="222" t="s">
        <v>891</v>
      </c>
      <c r="O36" s="223" t="s">
        <v>208</v>
      </c>
      <c r="P36" s="99"/>
      <c r="Q36" s="99"/>
      <c r="R36" s="4" t="s">
        <v>85</v>
      </c>
      <c r="S36" s="421" t="s">
        <v>237</v>
      </c>
      <c r="T36" s="422"/>
      <c r="U36" s="415" t="s">
        <v>250</v>
      </c>
      <c r="V36" s="416"/>
      <c r="W36" s="38">
        <v>2600</v>
      </c>
      <c r="X36" s="38">
        <v>2900</v>
      </c>
      <c r="Y36" s="38">
        <v>3200</v>
      </c>
      <c r="Z36" s="436" t="s">
        <v>316</v>
      </c>
      <c r="AA36" s="437"/>
      <c r="AB36" s="428" t="s">
        <v>317</v>
      </c>
      <c r="AC36" s="429"/>
      <c r="AD36" s="96">
        <v>300</v>
      </c>
      <c r="AE36" s="95"/>
      <c r="AF36" s="95">
        <v>400</v>
      </c>
    </row>
    <row r="37" spans="1:32" s="106" customFormat="1" ht="20.25" customHeight="1">
      <c r="B37" s="127"/>
      <c r="D37" s="347" t="s">
        <v>467</v>
      </c>
      <c r="E37" s="345"/>
      <c r="F37" s="345"/>
      <c r="G37" s="346"/>
      <c r="J37" s="107"/>
      <c r="N37" s="222" t="s">
        <v>892</v>
      </c>
      <c r="O37" s="223" t="s">
        <v>209</v>
      </c>
      <c r="P37" s="99"/>
      <c r="Q37" s="99"/>
      <c r="R37" s="4" t="s">
        <v>85</v>
      </c>
      <c r="S37" s="401" t="s">
        <v>238</v>
      </c>
      <c r="T37" s="308"/>
      <c r="U37" s="402" t="s">
        <v>250</v>
      </c>
      <c r="V37" s="403"/>
      <c r="W37" s="38">
        <v>2700</v>
      </c>
      <c r="X37" s="38">
        <v>3000</v>
      </c>
      <c r="Y37" s="38">
        <v>3300</v>
      </c>
      <c r="Z37" s="436" t="s">
        <v>289</v>
      </c>
      <c r="AA37" s="437"/>
      <c r="AB37" s="429" t="s">
        <v>315</v>
      </c>
      <c r="AC37" s="447"/>
      <c r="AD37" s="96">
        <v>350</v>
      </c>
      <c r="AE37" s="95"/>
      <c r="AF37" s="95">
        <v>450</v>
      </c>
    </row>
    <row r="38" spans="1:32" s="106" customFormat="1" ht="18.75" customHeight="1">
      <c r="A38" s="107"/>
      <c r="B38" s="107"/>
      <c r="D38" s="348"/>
      <c r="E38" s="349"/>
      <c r="F38" s="349"/>
      <c r="G38" s="350"/>
      <c r="J38" s="107"/>
      <c r="N38" s="222" t="s">
        <v>894</v>
      </c>
      <c r="O38" s="223" t="s">
        <v>209</v>
      </c>
      <c r="P38" s="99"/>
      <c r="Q38" s="99"/>
      <c r="R38" s="4" t="s">
        <v>84</v>
      </c>
      <c r="S38" s="421" t="s">
        <v>239</v>
      </c>
      <c r="T38" s="422"/>
      <c r="U38" s="415" t="s">
        <v>250</v>
      </c>
      <c r="V38" s="416"/>
      <c r="W38" s="38">
        <v>2800</v>
      </c>
      <c r="X38" s="38">
        <v>3100</v>
      </c>
      <c r="Y38" s="38">
        <v>3320</v>
      </c>
      <c r="Z38" s="436" t="s">
        <v>285</v>
      </c>
      <c r="AA38" s="437"/>
      <c r="AB38" s="405"/>
      <c r="AC38" s="446"/>
      <c r="AD38" s="96">
        <v>600</v>
      </c>
      <c r="AE38" s="95"/>
      <c r="AF38" s="95">
        <v>750</v>
      </c>
    </row>
    <row r="39" spans="1:32" s="106" customFormat="1" ht="19.5" customHeight="1">
      <c r="D39" s="351"/>
      <c r="E39" s="352"/>
      <c r="F39" s="352"/>
      <c r="G39" s="353"/>
      <c r="J39" s="107"/>
      <c r="N39" s="222" t="s">
        <v>893</v>
      </c>
      <c r="O39" s="223" t="s">
        <v>209</v>
      </c>
      <c r="P39" s="99"/>
      <c r="Q39" s="99"/>
      <c r="R39" s="4" t="s">
        <v>85</v>
      </c>
      <c r="S39" s="401" t="s">
        <v>240</v>
      </c>
      <c r="T39" s="308"/>
      <c r="U39" s="402" t="s">
        <v>251</v>
      </c>
      <c r="V39" s="403"/>
      <c r="W39" s="38">
        <v>2800</v>
      </c>
      <c r="X39" s="38">
        <v>3100</v>
      </c>
      <c r="Y39" s="38">
        <v>3400</v>
      </c>
      <c r="Z39" s="441" t="s">
        <v>308</v>
      </c>
      <c r="AA39" s="442"/>
      <c r="AB39" s="443" t="s">
        <v>64</v>
      </c>
      <c r="AC39" s="443"/>
      <c r="AD39" s="96"/>
      <c r="AE39" s="95">
        <v>650</v>
      </c>
      <c r="AF39" s="95"/>
    </row>
    <row r="40" spans="1:32" s="106" customFormat="1" ht="9.9499999999999993" customHeight="1">
      <c r="J40" s="107"/>
      <c r="N40" s="222" t="s">
        <v>895</v>
      </c>
      <c r="O40" s="223" t="s">
        <v>210</v>
      </c>
      <c r="P40" s="99"/>
      <c r="Q40" s="99"/>
      <c r="R40" s="4" t="s">
        <v>39</v>
      </c>
      <c r="S40" s="421" t="s">
        <v>241</v>
      </c>
      <c r="T40" s="422"/>
      <c r="U40" s="415" t="s">
        <v>251</v>
      </c>
      <c r="V40" s="416"/>
      <c r="W40" s="38">
        <v>2800</v>
      </c>
      <c r="X40" s="38">
        <v>3100</v>
      </c>
      <c r="Y40" s="38">
        <v>3400</v>
      </c>
      <c r="Z40" s="438" t="s">
        <v>309</v>
      </c>
      <c r="AA40" s="439"/>
      <c r="AB40" s="408" t="s">
        <v>310</v>
      </c>
      <c r="AC40" s="409"/>
      <c r="AD40" s="96"/>
      <c r="AE40" s="95">
        <v>360</v>
      </c>
      <c r="AF40" s="95"/>
    </row>
    <row r="41" spans="1:32" s="106" customFormat="1" ht="19.5" customHeight="1">
      <c r="A41" s="354" t="s">
        <v>464</v>
      </c>
      <c r="B41" s="354"/>
      <c r="C41" s="354"/>
      <c r="D41" s="354"/>
      <c r="E41" s="354"/>
      <c r="F41" s="354"/>
      <c r="G41" s="354"/>
      <c r="H41" s="354"/>
      <c r="I41" s="354"/>
      <c r="J41" s="354"/>
      <c r="K41" s="354"/>
      <c r="L41" s="354"/>
      <c r="M41" s="210"/>
      <c r="N41" s="222" t="s">
        <v>896</v>
      </c>
      <c r="O41" s="225" t="s">
        <v>211</v>
      </c>
      <c r="P41" s="99"/>
      <c r="Q41" s="99"/>
      <c r="R41" s="4" t="s">
        <v>84</v>
      </c>
      <c r="S41" s="401" t="s">
        <v>242</v>
      </c>
      <c r="T41" s="308"/>
      <c r="U41" s="402" t="s">
        <v>252</v>
      </c>
      <c r="V41" s="403"/>
      <c r="W41" s="38">
        <v>2700</v>
      </c>
      <c r="X41" s="38">
        <v>3000</v>
      </c>
      <c r="Y41" s="38">
        <v>3300</v>
      </c>
      <c r="Z41" s="436" t="s">
        <v>365</v>
      </c>
      <c r="AA41" s="437"/>
      <c r="AB41" s="405" t="s">
        <v>74</v>
      </c>
      <c r="AC41" s="446"/>
      <c r="AD41" s="96">
        <v>200</v>
      </c>
      <c r="AE41" s="95">
        <v>250</v>
      </c>
      <c r="AF41" s="95">
        <v>300</v>
      </c>
    </row>
    <row r="42" spans="1:32" s="106" customFormat="1" ht="19.5" customHeight="1">
      <c r="A42" s="126" t="s">
        <v>465</v>
      </c>
      <c r="B42" s="126"/>
      <c r="C42" s="126"/>
      <c r="D42" s="126"/>
      <c r="E42" s="126"/>
      <c r="F42" s="126"/>
      <c r="G42" s="126"/>
      <c r="H42" s="126"/>
      <c r="I42" s="126"/>
      <c r="J42" s="126"/>
      <c r="K42" s="126"/>
      <c r="L42" s="126"/>
      <c r="M42" s="126"/>
      <c r="N42" s="222" t="s">
        <v>853</v>
      </c>
      <c r="O42" s="223" t="s">
        <v>212</v>
      </c>
      <c r="P42" s="100"/>
      <c r="Q42" s="99"/>
      <c r="R42" s="4" t="s">
        <v>85</v>
      </c>
      <c r="S42" s="421" t="s">
        <v>243</v>
      </c>
      <c r="T42" s="422"/>
      <c r="U42" s="415" t="s">
        <v>252</v>
      </c>
      <c r="V42" s="416"/>
      <c r="W42" s="38">
        <v>2700</v>
      </c>
      <c r="X42" s="38">
        <v>3000</v>
      </c>
      <c r="Y42" s="38">
        <v>3300</v>
      </c>
      <c r="Z42" s="438" t="s">
        <v>358</v>
      </c>
      <c r="AA42" s="439"/>
      <c r="AB42" s="408" t="s">
        <v>252</v>
      </c>
      <c r="AC42" s="409"/>
      <c r="AD42" s="95">
        <v>2700</v>
      </c>
      <c r="AE42" s="95">
        <v>3000</v>
      </c>
      <c r="AF42" s="95">
        <v>3300</v>
      </c>
    </row>
    <row r="43" spans="1:32">
      <c r="N43" s="222" t="s">
        <v>858</v>
      </c>
      <c r="O43" s="226" t="s">
        <v>174</v>
      </c>
      <c r="P43" s="96"/>
      <c r="Q43" s="95"/>
      <c r="R43" s="4" t="s">
        <v>85</v>
      </c>
      <c r="S43" s="401" t="s">
        <v>244</v>
      </c>
      <c r="T43" s="308"/>
      <c r="U43" s="402" t="s">
        <v>253</v>
      </c>
      <c r="V43" s="403"/>
      <c r="W43" s="38">
        <v>9500</v>
      </c>
      <c r="X43" s="38">
        <v>11000</v>
      </c>
      <c r="Y43" s="38">
        <v>12000</v>
      </c>
      <c r="Z43" s="404"/>
      <c r="AA43" s="405"/>
      <c r="AB43" s="405"/>
      <c r="AC43" s="446"/>
      <c r="AD43" s="97"/>
      <c r="AE43" s="97"/>
      <c r="AF43" s="97"/>
    </row>
    <row r="44" spans="1:32">
      <c r="N44" s="222" t="s">
        <v>897</v>
      </c>
      <c r="O44" s="226" t="s">
        <v>86</v>
      </c>
      <c r="P44" s="101"/>
      <c r="Q44" s="95"/>
      <c r="R44" s="4" t="s">
        <v>85</v>
      </c>
      <c r="S44" s="401" t="s">
        <v>245</v>
      </c>
      <c r="T44" s="308"/>
      <c r="U44" s="402" t="s">
        <v>254</v>
      </c>
      <c r="V44" s="403"/>
      <c r="W44" s="38">
        <v>650</v>
      </c>
      <c r="X44" s="38">
        <v>750</v>
      </c>
      <c r="Y44" s="38">
        <v>800</v>
      </c>
      <c r="Z44" s="404"/>
      <c r="AA44" s="405"/>
      <c r="AB44" s="405"/>
      <c r="AC44" s="446"/>
      <c r="AD44" s="96"/>
      <c r="AE44" s="95"/>
      <c r="AF44" s="95"/>
    </row>
    <row r="45" spans="1:32">
      <c r="N45" s="222" t="s">
        <v>898</v>
      </c>
      <c r="O45" s="226" t="s">
        <v>213</v>
      </c>
      <c r="P45" s="101"/>
      <c r="Q45" s="95"/>
      <c r="R45" s="4" t="s">
        <v>85</v>
      </c>
      <c r="S45" s="421" t="s">
        <v>246</v>
      </c>
      <c r="T45" s="422"/>
      <c r="U45" s="415" t="s">
        <v>255</v>
      </c>
      <c r="V45" s="416"/>
      <c r="W45" s="38">
        <v>100</v>
      </c>
      <c r="X45" s="38">
        <v>135</v>
      </c>
      <c r="Y45" s="38">
        <v>135</v>
      </c>
      <c r="Z45" s="436" t="s">
        <v>337</v>
      </c>
      <c r="AA45" s="437"/>
      <c r="AB45" s="429" t="s">
        <v>339</v>
      </c>
      <c r="AC45" s="447"/>
      <c r="AD45" s="96">
        <v>550</v>
      </c>
      <c r="AE45" s="95"/>
      <c r="AF45" s="95">
        <v>700</v>
      </c>
    </row>
    <row r="46" spans="1:32">
      <c r="N46" s="222" t="s">
        <v>899</v>
      </c>
      <c r="O46" s="226" t="s">
        <v>87</v>
      </c>
      <c r="P46" s="101"/>
      <c r="Q46" s="95"/>
      <c r="R46" s="4"/>
      <c r="S46" s="401" t="s">
        <v>247</v>
      </c>
      <c r="T46" s="308"/>
      <c r="U46" s="402" t="s">
        <v>256</v>
      </c>
      <c r="V46" s="403"/>
      <c r="W46" s="38">
        <v>700</v>
      </c>
      <c r="X46" s="38">
        <v>800</v>
      </c>
      <c r="Y46" s="38">
        <v>850</v>
      </c>
      <c r="Z46" s="436" t="s">
        <v>338</v>
      </c>
      <c r="AA46" s="437"/>
      <c r="AB46" s="429" t="s">
        <v>340</v>
      </c>
      <c r="AC46" s="447"/>
      <c r="AD46" s="96">
        <v>450</v>
      </c>
      <c r="AE46" s="95"/>
      <c r="AF46" s="95">
        <v>550</v>
      </c>
    </row>
    <row r="47" spans="1:32">
      <c r="N47" s="222" t="s">
        <v>900</v>
      </c>
      <c r="O47" s="226" t="s">
        <v>88</v>
      </c>
      <c r="P47" s="101"/>
      <c r="Q47" s="95"/>
      <c r="R47" s="4"/>
      <c r="S47" s="401" t="s">
        <v>263</v>
      </c>
      <c r="T47" s="308"/>
      <c r="U47" s="402" t="s">
        <v>250</v>
      </c>
      <c r="V47" s="403"/>
      <c r="W47" s="6">
        <v>2100</v>
      </c>
      <c r="X47" s="6">
        <v>2400</v>
      </c>
      <c r="Y47" s="6">
        <v>2600</v>
      </c>
      <c r="Z47" s="441" t="s">
        <v>311</v>
      </c>
      <c r="AA47" s="442"/>
      <c r="AB47" s="443" t="s">
        <v>312</v>
      </c>
      <c r="AC47" s="443"/>
      <c r="AD47" s="97"/>
      <c r="AE47" s="97"/>
      <c r="AF47" s="97"/>
    </row>
    <row r="48" spans="1:32">
      <c r="N48" s="222" t="s">
        <v>901</v>
      </c>
      <c r="O48" s="226" t="s">
        <v>89</v>
      </c>
      <c r="P48" s="101"/>
      <c r="Q48" s="95"/>
      <c r="R48" s="91"/>
      <c r="S48" s="92"/>
      <c r="T48" s="92"/>
      <c r="U48" s="53"/>
      <c r="V48" s="53"/>
      <c r="Z48" s="300" t="s">
        <v>38</v>
      </c>
      <c r="AA48" s="300"/>
      <c r="AB48" s="300"/>
      <c r="AC48" s="300"/>
      <c r="AD48" s="300"/>
      <c r="AE48" s="440"/>
      <c r="AF48" s="440"/>
    </row>
    <row r="49" spans="14:32">
      <c r="N49" s="219" t="s">
        <v>902</v>
      </c>
      <c r="O49" s="216" t="s">
        <v>214</v>
      </c>
      <c r="P49" s="17"/>
      <c r="Q49" s="41"/>
      <c r="R49" s="91"/>
      <c r="S49" s="91"/>
      <c r="T49" s="91"/>
      <c r="V49" s="53"/>
    </row>
    <row r="50" spans="14:32">
      <c r="N50" s="220" t="s">
        <v>311</v>
      </c>
      <c r="O50" s="213" t="s">
        <v>312</v>
      </c>
      <c r="P50" s="98"/>
      <c r="Q50" s="41"/>
      <c r="R50" s="40" t="s">
        <v>347</v>
      </c>
      <c r="S50" s="426" t="s">
        <v>379</v>
      </c>
      <c r="T50" s="427"/>
      <c r="U50" s="434" t="s">
        <v>380</v>
      </c>
      <c r="V50" s="435"/>
    </row>
    <row r="51" spans="14:32">
      <c r="N51" s="219" t="s">
        <v>342</v>
      </c>
      <c r="O51" s="214" t="s">
        <v>341</v>
      </c>
      <c r="P51" s="17"/>
      <c r="Q51" s="41"/>
      <c r="R51" s="40" t="s">
        <v>347</v>
      </c>
      <c r="S51" s="426" t="s">
        <v>381</v>
      </c>
      <c r="T51" s="427"/>
      <c r="U51" s="434" t="s">
        <v>382</v>
      </c>
      <c r="V51" s="435"/>
    </row>
    <row r="52" spans="14:32">
      <c r="N52" s="91" t="s">
        <v>33</v>
      </c>
      <c r="O52" s="91"/>
      <c r="P52" s="91"/>
      <c r="Q52" s="91"/>
      <c r="R52" s="40" t="s">
        <v>350</v>
      </c>
      <c r="S52" s="426" t="s">
        <v>383</v>
      </c>
      <c r="T52" s="427"/>
      <c r="U52" s="434" t="s">
        <v>384</v>
      </c>
      <c r="V52" s="435"/>
    </row>
    <row r="53" spans="14:32">
      <c r="N53" s="91" t="s">
        <v>34</v>
      </c>
      <c r="O53" s="91"/>
      <c r="P53" s="91"/>
      <c r="Q53" s="91"/>
      <c r="R53" s="40" t="s">
        <v>350</v>
      </c>
      <c r="S53" s="426" t="s">
        <v>385</v>
      </c>
      <c r="T53" s="427"/>
      <c r="U53" s="434" t="s">
        <v>386</v>
      </c>
      <c r="V53" s="435"/>
    </row>
    <row r="54" spans="14:32">
      <c r="N54" s="229" t="s">
        <v>351</v>
      </c>
      <c r="O54" s="230" t="s">
        <v>348</v>
      </c>
      <c r="P54" s="38">
        <v>1000</v>
      </c>
      <c r="Q54" s="38">
        <v>1200</v>
      </c>
      <c r="S54" s="426" t="s">
        <v>387</v>
      </c>
      <c r="T54" s="427"/>
      <c r="U54" s="434" t="s">
        <v>388</v>
      </c>
      <c r="V54" s="435"/>
    </row>
    <row r="55" spans="14:32">
      <c r="N55" s="229" t="s">
        <v>352</v>
      </c>
      <c r="O55" s="230" t="s">
        <v>349</v>
      </c>
      <c r="P55" s="38">
        <v>1100</v>
      </c>
      <c r="Q55" s="38">
        <v>1350</v>
      </c>
    </row>
    <row r="56" spans="14:32">
      <c r="N56" s="229" t="s">
        <v>424</v>
      </c>
      <c r="O56" s="230" t="s">
        <v>348</v>
      </c>
      <c r="P56" s="38">
        <v>1000</v>
      </c>
      <c r="Q56" s="38">
        <v>1200</v>
      </c>
    </row>
    <row r="57" spans="14:32">
      <c r="N57" s="229" t="s">
        <v>353</v>
      </c>
      <c r="O57" s="230" t="s">
        <v>349</v>
      </c>
      <c r="P57" s="38">
        <v>1100</v>
      </c>
      <c r="Q57" s="38">
        <v>1350</v>
      </c>
      <c r="V57" s="53"/>
      <c r="W57" s="15" t="s">
        <v>50</v>
      </c>
      <c r="X57" s="15" t="s">
        <v>49</v>
      </c>
      <c r="Y57" s="15" t="s">
        <v>48</v>
      </c>
      <c r="Z57" s="297" t="s">
        <v>364</v>
      </c>
      <c r="AA57" s="297"/>
      <c r="AB57" s="297"/>
      <c r="AC57" s="297"/>
      <c r="AD57" s="15" t="s">
        <v>50</v>
      </c>
      <c r="AE57" s="15" t="s">
        <v>49</v>
      </c>
      <c r="AF57" s="15" t="s">
        <v>48</v>
      </c>
    </row>
    <row r="58" spans="14:32">
      <c r="R58" s="4" t="s">
        <v>39</v>
      </c>
      <c r="S58" s="401" t="s">
        <v>219</v>
      </c>
      <c r="T58" s="308"/>
      <c r="U58" s="402" t="s">
        <v>93</v>
      </c>
      <c r="V58" s="403"/>
      <c r="W58" s="38">
        <v>200</v>
      </c>
      <c r="X58" s="38">
        <v>300</v>
      </c>
      <c r="Y58" s="38">
        <v>300</v>
      </c>
      <c r="Z58" s="432" t="s">
        <v>267</v>
      </c>
      <c r="AA58" s="433"/>
      <c r="AB58" s="275" t="s">
        <v>68</v>
      </c>
      <c r="AC58" s="444"/>
      <c r="AD58" s="72">
        <v>330</v>
      </c>
      <c r="AE58" s="72"/>
      <c r="AF58" s="72">
        <v>400</v>
      </c>
    </row>
    <row r="59" spans="14:32">
      <c r="R59" s="4" t="s">
        <v>84</v>
      </c>
      <c r="S59" s="401" t="s">
        <v>220</v>
      </c>
      <c r="T59" s="308"/>
      <c r="U59" s="402" t="s">
        <v>92</v>
      </c>
      <c r="V59" s="403"/>
      <c r="W59" s="38">
        <v>300</v>
      </c>
      <c r="X59" s="38">
        <v>350</v>
      </c>
      <c r="Y59" s="38">
        <v>400</v>
      </c>
      <c r="Z59" s="432" t="s">
        <v>268</v>
      </c>
      <c r="AA59" s="433"/>
      <c r="AB59" s="275" t="s">
        <v>69</v>
      </c>
      <c r="AC59" s="444"/>
      <c r="AD59" s="72">
        <v>300</v>
      </c>
      <c r="AE59" s="72"/>
      <c r="AF59" s="72">
        <v>380</v>
      </c>
    </row>
    <row r="60" spans="14:32">
      <c r="R60" s="4" t="s">
        <v>39</v>
      </c>
      <c r="S60" s="401" t="s">
        <v>221</v>
      </c>
      <c r="T60" s="308"/>
      <c r="U60" s="402" t="s">
        <v>91</v>
      </c>
      <c r="V60" s="403"/>
      <c r="W60" s="38">
        <v>300</v>
      </c>
      <c r="X60" s="38">
        <v>350</v>
      </c>
      <c r="Y60" s="38">
        <v>400</v>
      </c>
      <c r="Z60" s="432" t="s">
        <v>269</v>
      </c>
      <c r="AA60" s="433"/>
      <c r="AB60" s="275" t="s">
        <v>70</v>
      </c>
      <c r="AC60" s="444"/>
      <c r="AD60" s="72">
        <v>1900</v>
      </c>
      <c r="AE60" s="72"/>
      <c r="AF60" s="72">
        <v>2300</v>
      </c>
    </row>
    <row r="61" spans="14:32">
      <c r="N61" s="254" t="s">
        <v>369</v>
      </c>
      <c r="O61" s="254"/>
      <c r="P61" s="15" t="s">
        <v>50</v>
      </c>
      <c r="Q61" s="15" t="s">
        <v>48</v>
      </c>
      <c r="R61" s="4" t="s">
        <v>39</v>
      </c>
      <c r="S61" s="401" t="s">
        <v>222</v>
      </c>
      <c r="T61" s="308"/>
      <c r="U61" s="402" t="s">
        <v>90</v>
      </c>
      <c r="V61" s="403"/>
      <c r="W61" s="38">
        <v>300</v>
      </c>
      <c r="X61" s="38">
        <v>350</v>
      </c>
      <c r="Y61" s="38">
        <v>400</v>
      </c>
      <c r="Z61" s="432" t="s">
        <v>270</v>
      </c>
      <c r="AA61" s="433"/>
      <c r="AB61" s="275" t="s">
        <v>71</v>
      </c>
      <c r="AC61" s="444"/>
      <c r="AD61" s="72">
        <v>300</v>
      </c>
      <c r="AE61" s="72"/>
      <c r="AF61" s="72">
        <v>400</v>
      </c>
    </row>
    <row r="62" spans="14:32">
      <c r="N62" s="262" t="s">
        <v>306</v>
      </c>
      <c r="O62" s="487"/>
      <c r="P62" s="38">
        <v>6500</v>
      </c>
      <c r="Q62" s="38">
        <v>7800</v>
      </c>
      <c r="R62" s="4" t="s">
        <v>39</v>
      </c>
      <c r="S62" s="401" t="s">
        <v>223</v>
      </c>
      <c r="T62" s="308"/>
      <c r="U62" s="402" t="s">
        <v>94</v>
      </c>
      <c r="V62" s="403"/>
      <c r="W62" s="38">
        <v>1500</v>
      </c>
      <c r="X62" s="38">
        <v>1800</v>
      </c>
      <c r="Y62" s="38">
        <v>2000</v>
      </c>
      <c r="Z62" s="432" t="s">
        <v>271</v>
      </c>
      <c r="AA62" s="433"/>
      <c r="AB62" s="275" t="s">
        <v>72</v>
      </c>
      <c r="AC62" s="444"/>
      <c r="AD62" s="72">
        <v>800</v>
      </c>
      <c r="AE62" s="72"/>
      <c r="AF62" s="72">
        <v>1000</v>
      </c>
    </row>
    <row r="63" spans="14:32">
      <c r="N63" s="221" t="s">
        <v>295</v>
      </c>
      <c r="O63" s="213" t="s">
        <v>105</v>
      </c>
      <c r="P63" s="38">
        <v>1000</v>
      </c>
      <c r="Q63" s="38">
        <v>1200</v>
      </c>
      <c r="R63" s="4" t="s">
        <v>39</v>
      </c>
      <c r="S63" s="401" t="s">
        <v>224</v>
      </c>
      <c r="T63" s="308"/>
      <c r="U63" s="402" t="s">
        <v>176</v>
      </c>
      <c r="V63" s="403"/>
      <c r="W63" s="38">
        <v>1700</v>
      </c>
      <c r="X63" s="38">
        <v>1900</v>
      </c>
      <c r="Y63" s="38">
        <v>2100</v>
      </c>
      <c r="Z63" s="432" t="s">
        <v>272</v>
      </c>
      <c r="AA63" s="433"/>
      <c r="AB63" s="450" t="s">
        <v>73</v>
      </c>
      <c r="AC63" s="451"/>
      <c r="AD63" s="72">
        <v>1350</v>
      </c>
      <c r="AE63" s="72"/>
      <c r="AF63" s="72">
        <v>1700</v>
      </c>
    </row>
    <row r="64" spans="14:32">
      <c r="N64" s="221" t="s">
        <v>296</v>
      </c>
      <c r="O64" s="218" t="s">
        <v>101</v>
      </c>
      <c r="P64" s="38">
        <v>8700</v>
      </c>
      <c r="Q64" s="38">
        <v>10500</v>
      </c>
      <c r="R64" s="4" t="s">
        <v>39</v>
      </c>
      <c r="S64" s="401" t="s">
        <v>225</v>
      </c>
      <c r="T64" s="308"/>
      <c r="U64" s="402" t="s">
        <v>95</v>
      </c>
      <c r="V64" s="403"/>
      <c r="W64" s="38">
        <v>2000</v>
      </c>
      <c r="X64" s="38">
        <v>2200</v>
      </c>
      <c r="Y64" s="38">
        <v>2500</v>
      </c>
      <c r="Z64" s="432" t="s">
        <v>273</v>
      </c>
      <c r="AA64" s="433"/>
      <c r="AB64" s="275" t="s">
        <v>74</v>
      </c>
      <c r="AC64" s="444"/>
      <c r="AD64" s="72">
        <v>100</v>
      </c>
      <c r="AE64" s="72"/>
      <c r="AF64" s="72">
        <v>120</v>
      </c>
    </row>
    <row r="65" spans="14:32">
      <c r="N65" s="219" t="s">
        <v>182</v>
      </c>
      <c r="O65" s="218" t="s">
        <v>100</v>
      </c>
      <c r="P65" s="38">
        <v>11000</v>
      </c>
      <c r="Q65" s="38">
        <v>13500</v>
      </c>
      <c r="R65" s="4" t="s">
        <v>39</v>
      </c>
      <c r="S65" s="401" t="s">
        <v>226</v>
      </c>
      <c r="T65" s="308"/>
      <c r="U65" s="402" t="s">
        <v>96</v>
      </c>
      <c r="V65" s="403"/>
      <c r="W65" s="38">
        <v>45500</v>
      </c>
      <c r="X65" s="38">
        <v>50000</v>
      </c>
      <c r="Y65" s="38">
        <v>55200</v>
      </c>
      <c r="Z65" s="432" t="s">
        <v>274</v>
      </c>
      <c r="AA65" s="433"/>
      <c r="AB65" s="450" t="s">
        <v>75</v>
      </c>
      <c r="AC65" s="451"/>
      <c r="AD65" s="72">
        <v>260</v>
      </c>
      <c r="AE65" s="72"/>
      <c r="AF65" s="72">
        <v>320</v>
      </c>
    </row>
    <row r="66" spans="14:32">
      <c r="N66" s="220" t="s">
        <v>183</v>
      </c>
      <c r="O66" s="213" t="s">
        <v>205</v>
      </c>
      <c r="P66" s="38">
        <v>8000</v>
      </c>
      <c r="Q66" s="38">
        <v>9500</v>
      </c>
      <c r="R66" s="4" t="s">
        <v>39</v>
      </c>
      <c r="S66" s="421" t="s">
        <v>233</v>
      </c>
      <c r="T66" s="422"/>
      <c r="U66" s="415" t="s">
        <v>249</v>
      </c>
      <c r="V66" s="416"/>
      <c r="W66" s="38">
        <v>180</v>
      </c>
      <c r="X66" s="38">
        <v>220</v>
      </c>
      <c r="Y66" s="38">
        <v>250</v>
      </c>
      <c r="Z66" s="432" t="s">
        <v>275</v>
      </c>
      <c r="AA66" s="433"/>
      <c r="AB66" s="450" t="s">
        <v>76</v>
      </c>
      <c r="AC66" s="451"/>
      <c r="AD66" s="72">
        <v>210</v>
      </c>
      <c r="AE66" s="72"/>
      <c r="AF66" s="72">
        <v>250</v>
      </c>
    </row>
    <row r="67" spans="14:32">
      <c r="N67" s="219" t="s">
        <v>184</v>
      </c>
      <c r="O67" s="218" t="s">
        <v>66</v>
      </c>
      <c r="P67" s="38">
        <v>12000</v>
      </c>
      <c r="Q67" s="38">
        <v>14500</v>
      </c>
      <c r="R67" s="4" t="s">
        <v>85</v>
      </c>
      <c r="S67" s="401" t="s">
        <v>374</v>
      </c>
      <c r="T67" s="308"/>
      <c r="U67" s="402" t="s">
        <v>248</v>
      </c>
      <c r="V67" s="403"/>
      <c r="W67" s="38">
        <v>1000</v>
      </c>
      <c r="X67" s="38">
        <v>1300</v>
      </c>
      <c r="Y67" s="38">
        <v>1500</v>
      </c>
      <c r="Z67" s="432" t="s">
        <v>284</v>
      </c>
      <c r="AA67" s="433"/>
      <c r="AB67" s="275" t="s">
        <v>288</v>
      </c>
      <c r="AC67" s="444"/>
      <c r="AD67" s="72">
        <v>700</v>
      </c>
      <c r="AE67" s="72"/>
      <c r="AF67" s="72">
        <v>850</v>
      </c>
    </row>
    <row r="68" spans="14:32">
      <c r="N68" s="219" t="s">
        <v>185</v>
      </c>
      <c r="O68" s="218" t="s">
        <v>206</v>
      </c>
      <c r="P68" s="38">
        <v>8000</v>
      </c>
      <c r="Q68" s="38">
        <v>9500</v>
      </c>
      <c r="R68" s="4" t="s">
        <v>85</v>
      </c>
      <c r="S68" s="401" t="s">
        <v>375</v>
      </c>
      <c r="T68" s="308"/>
      <c r="U68" s="415" t="s">
        <v>248</v>
      </c>
      <c r="V68" s="416"/>
      <c r="W68" s="38">
        <v>1500</v>
      </c>
      <c r="X68" s="38">
        <v>1700</v>
      </c>
      <c r="Y68" s="38">
        <v>1800</v>
      </c>
      <c r="Z68" s="432" t="s">
        <v>276</v>
      </c>
      <c r="AA68" s="433"/>
      <c r="AB68" s="275" t="s">
        <v>68</v>
      </c>
      <c r="AC68" s="444"/>
      <c r="AD68" s="72">
        <v>200</v>
      </c>
      <c r="AE68" s="72"/>
      <c r="AF68" s="72">
        <v>250</v>
      </c>
    </row>
    <row r="69" spans="14:32">
      <c r="N69" s="219" t="s">
        <v>186</v>
      </c>
      <c r="O69" s="218" t="s">
        <v>261</v>
      </c>
      <c r="P69" s="38">
        <v>11500</v>
      </c>
      <c r="Q69" s="38">
        <v>14000</v>
      </c>
      <c r="R69" s="4" t="s">
        <v>85</v>
      </c>
      <c r="S69" s="401" t="s">
        <v>376</v>
      </c>
      <c r="T69" s="308"/>
      <c r="U69" s="402" t="s">
        <v>248</v>
      </c>
      <c r="V69" s="403"/>
      <c r="W69" s="38">
        <v>1800</v>
      </c>
      <c r="X69" s="38">
        <v>2200</v>
      </c>
      <c r="Y69" s="38">
        <v>2500</v>
      </c>
      <c r="Z69" s="432" t="s">
        <v>270</v>
      </c>
      <c r="AA69" s="433"/>
      <c r="AB69" s="275" t="s">
        <v>69</v>
      </c>
      <c r="AC69" s="444"/>
      <c r="AD69" s="72">
        <v>260</v>
      </c>
      <c r="AE69" s="72"/>
      <c r="AF69" s="72">
        <v>330</v>
      </c>
    </row>
    <row r="70" spans="14:32">
      <c r="N70" s="219" t="s">
        <v>187</v>
      </c>
      <c r="O70" s="218" t="s">
        <v>207</v>
      </c>
      <c r="P70" s="38">
        <v>14600</v>
      </c>
      <c r="Q70" s="38">
        <v>17500</v>
      </c>
      <c r="R70" s="4" t="s">
        <v>85</v>
      </c>
      <c r="S70" s="401" t="s">
        <v>377</v>
      </c>
      <c r="T70" s="308"/>
      <c r="U70" s="415" t="s">
        <v>248</v>
      </c>
      <c r="V70" s="416"/>
      <c r="W70" s="38">
        <v>2500</v>
      </c>
      <c r="X70" s="38">
        <v>3000</v>
      </c>
      <c r="Y70" s="38">
        <v>3500</v>
      </c>
      <c r="Z70" s="432" t="s">
        <v>277</v>
      </c>
      <c r="AA70" s="433"/>
      <c r="AB70" s="275" t="s">
        <v>70</v>
      </c>
      <c r="AC70" s="444"/>
      <c r="AD70" s="72">
        <v>1200</v>
      </c>
      <c r="AE70" s="72"/>
      <c r="AF70" s="72">
        <v>1500</v>
      </c>
    </row>
    <row r="71" spans="14:32">
      <c r="N71" s="221" t="s">
        <v>188</v>
      </c>
      <c r="O71" s="218" t="s">
        <v>62</v>
      </c>
      <c r="P71" s="38">
        <v>460</v>
      </c>
      <c r="Q71" s="38">
        <v>600</v>
      </c>
      <c r="R71" s="4" t="s">
        <v>85</v>
      </c>
      <c r="S71" s="401" t="s">
        <v>378</v>
      </c>
      <c r="T71" s="308"/>
      <c r="U71" s="402" t="s">
        <v>248</v>
      </c>
      <c r="V71" s="403"/>
      <c r="W71" s="38">
        <v>4500</v>
      </c>
      <c r="X71" s="38">
        <v>5500</v>
      </c>
      <c r="Y71" s="38">
        <v>6000</v>
      </c>
      <c r="Z71" s="432" t="s">
        <v>270</v>
      </c>
      <c r="AA71" s="433"/>
      <c r="AB71" s="275" t="s">
        <v>71</v>
      </c>
      <c r="AC71" s="444"/>
      <c r="AD71" s="72">
        <v>260</v>
      </c>
      <c r="AE71" s="72"/>
      <c r="AF71" s="72">
        <v>330</v>
      </c>
    </row>
    <row r="72" spans="14:32">
      <c r="N72" s="221" t="s">
        <v>189</v>
      </c>
      <c r="O72" s="218" t="s">
        <v>63</v>
      </c>
      <c r="P72" s="38">
        <v>500</v>
      </c>
      <c r="Q72" s="38">
        <v>600</v>
      </c>
      <c r="R72" s="4" t="s">
        <v>84</v>
      </c>
      <c r="S72" s="421" t="s">
        <v>227</v>
      </c>
      <c r="T72" s="422"/>
      <c r="U72" s="415" t="s">
        <v>354</v>
      </c>
      <c r="V72" s="416"/>
      <c r="W72" s="38">
        <v>1900</v>
      </c>
      <c r="X72" s="38">
        <v>2100</v>
      </c>
      <c r="Y72" s="38">
        <v>2300</v>
      </c>
      <c r="Z72" s="432" t="s">
        <v>278</v>
      </c>
      <c r="AA72" s="433"/>
      <c r="AB72" s="275" t="s">
        <v>72</v>
      </c>
      <c r="AC72" s="444"/>
      <c r="AD72" s="72">
        <v>800</v>
      </c>
      <c r="AE72" s="72"/>
      <c r="AF72" s="72">
        <v>1000</v>
      </c>
    </row>
    <row r="73" spans="14:32">
      <c r="N73" s="212" t="s">
        <v>190</v>
      </c>
      <c r="O73" s="213" t="s">
        <v>64</v>
      </c>
      <c r="P73" s="38">
        <v>350</v>
      </c>
      <c r="Q73" s="38">
        <v>500</v>
      </c>
      <c r="R73" s="4" t="s">
        <v>84</v>
      </c>
      <c r="S73" s="401" t="s">
        <v>228</v>
      </c>
      <c r="T73" s="308"/>
      <c r="U73" s="402" t="s">
        <v>354</v>
      </c>
      <c r="V73" s="403"/>
      <c r="W73" s="38">
        <v>1900</v>
      </c>
      <c r="X73" s="38">
        <v>2100</v>
      </c>
      <c r="Y73" s="38">
        <v>2300</v>
      </c>
      <c r="Z73" s="432" t="s">
        <v>279</v>
      </c>
      <c r="AA73" s="433"/>
      <c r="AB73" s="275" t="s">
        <v>80</v>
      </c>
      <c r="AC73" s="444"/>
      <c r="AD73" s="72"/>
      <c r="AE73" s="72"/>
      <c r="AF73" s="72"/>
    </row>
    <row r="74" spans="14:32">
      <c r="N74" s="212" t="s">
        <v>308</v>
      </c>
      <c r="O74" s="213" t="s">
        <v>390</v>
      </c>
      <c r="P74" s="38">
        <v>600</v>
      </c>
      <c r="Q74" s="38">
        <v>750</v>
      </c>
      <c r="R74" s="4" t="s">
        <v>84</v>
      </c>
      <c r="S74" s="421" t="s">
        <v>229</v>
      </c>
      <c r="T74" s="422"/>
      <c r="U74" s="415" t="s">
        <v>354</v>
      </c>
      <c r="V74" s="416"/>
      <c r="W74" s="38">
        <v>2000</v>
      </c>
      <c r="X74" s="38">
        <v>2200</v>
      </c>
      <c r="Y74" s="38">
        <v>2400</v>
      </c>
      <c r="Z74" s="432" t="s">
        <v>280</v>
      </c>
      <c r="AA74" s="433"/>
      <c r="AB74" s="275" t="s">
        <v>71</v>
      </c>
      <c r="AC74" s="444"/>
      <c r="AD74" s="72">
        <v>400</v>
      </c>
      <c r="AE74" s="72"/>
      <c r="AF74" s="72">
        <v>500</v>
      </c>
    </row>
    <row r="75" spans="14:32">
      <c r="N75" s="212" t="s">
        <v>346</v>
      </c>
      <c r="O75" s="213" t="s">
        <v>355</v>
      </c>
      <c r="P75" s="38">
        <v>620</v>
      </c>
      <c r="Q75" s="38">
        <v>750</v>
      </c>
      <c r="R75" s="4" t="s">
        <v>84</v>
      </c>
      <c r="S75" s="401" t="s">
        <v>230</v>
      </c>
      <c r="T75" s="308"/>
      <c r="U75" s="402" t="s">
        <v>97</v>
      </c>
      <c r="V75" s="403"/>
      <c r="W75" s="38">
        <v>650</v>
      </c>
      <c r="X75" s="38">
        <v>700</v>
      </c>
      <c r="Y75" s="38">
        <v>800</v>
      </c>
      <c r="Z75" s="432" t="s">
        <v>281</v>
      </c>
      <c r="AA75" s="433"/>
      <c r="AB75" s="275" t="s">
        <v>72</v>
      </c>
      <c r="AC75" s="444"/>
      <c r="AD75" s="72">
        <v>550</v>
      </c>
      <c r="AE75" s="72"/>
      <c r="AF75" s="72">
        <v>680</v>
      </c>
    </row>
    <row r="76" spans="14:32">
      <c r="N76" s="215" t="s">
        <v>418</v>
      </c>
      <c r="O76" s="218" t="s">
        <v>65</v>
      </c>
      <c r="P76" s="38">
        <v>1800</v>
      </c>
      <c r="Q76" s="38">
        <v>2200</v>
      </c>
      <c r="R76" s="4" t="s">
        <v>84</v>
      </c>
      <c r="S76" s="421" t="s">
        <v>231</v>
      </c>
      <c r="T76" s="422"/>
      <c r="U76" s="415" t="s">
        <v>98</v>
      </c>
      <c r="V76" s="416"/>
      <c r="W76" s="38">
        <v>500</v>
      </c>
      <c r="X76" s="38">
        <v>600</v>
      </c>
      <c r="Y76" s="38">
        <v>600</v>
      </c>
      <c r="Z76" s="432" t="s">
        <v>282</v>
      </c>
      <c r="AA76" s="433"/>
      <c r="AB76" s="275" t="s">
        <v>81</v>
      </c>
      <c r="AC76" s="444"/>
      <c r="AD76" s="72">
        <v>300</v>
      </c>
      <c r="AE76" s="72"/>
      <c r="AF76" s="72">
        <v>550</v>
      </c>
    </row>
    <row r="77" spans="14:32">
      <c r="N77" s="215" t="s">
        <v>419</v>
      </c>
      <c r="O77" s="218" t="s">
        <v>65</v>
      </c>
      <c r="P77" s="38">
        <v>1850</v>
      </c>
      <c r="Q77" s="38">
        <v>2300</v>
      </c>
      <c r="R77" s="4" t="s">
        <v>84</v>
      </c>
      <c r="S77" s="401" t="s">
        <v>232</v>
      </c>
      <c r="T77" s="308"/>
      <c r="U77" s="402" t="s">
        <v>98</v>
      </c>
      <c r="V77" s="403"/>
      <c r="W77" s="38">
        <v>500</v>
      </c>
      <c r="X77" s="38">
        <v>600</v>
      </c>
      <c r="Y77" s="38">
        <v>600</v>
      </c>
      <c r="Z77" s="432" t="s">
        <v>283</v>
      </c>
      <c r="AA77" s="433"/>
      <c r="AB77" s="275" t="s">
        <v>82</v>
      </c>
      <c r="AC77" s="444"/>
      <c r="AD77" s="72">
        <v>200</v>
      </c>
      <c r="AE77" s="72"/>
      <c r="AF77" s="72"/>
    </row>
    <row r="78" spans="14:32">
      <c r="N78" s="215" t="s">
        <v>420</v>
      </c>
      <c r="O78" s="218" t="s">
        <v>65</v>
      </c>
      <c r="P78" s="38">
        <v>1950</v>
      </c>
      <c r="Q78" s="38">
        <v>2400</v>
      </c>
      <c r="R78" s="7" t="s">
        <v>83</v>
      </c>
      <c r="S78" s="401" t="s">
        <v>320</v>
      </c>
      <c r="T78" s="308"/>
      <c r="U78" s="402" t="s">
        <v>321</v>
      </c>
      <c r="V78" s="403"/>
      <c r="W78" s="38">
        <v>2100</v>
      </c>
      <c r="X78" s="38">
        <v>2400</v>
      </c>
      <c r="Y78" s="38">
        <v>2600</v>
      </c>
      <c r="Z78" s="432" t="s">
        <v>372</v>
      </c>
      <c r="AA78" s="433"/>
      <c r="AB78" s="275" t="s">
        <v>81</v>
      </c>
      <c r="AC78" s="444"/>
      <c r="AD78" s="75"/>
      <c r="AE78" s="72"/>
      <c r="AF78" s="72"/>
    </row>
    <row r="79" spans="14:32">
      <c r="N79" s="215" t="s">
        <v>421</v>
      </c>
      <c r="O79" s="218" t="s">
        <v>65</v>
      </c>
      <c r="P79" s="38">
        <v>2000</v>
      </c>
      <c r="Q79" s="38">
        <v>2400</v>
      </c>
      <c r="R79" s="4" t="s">
        <v>84</v>
      </c>
      <c r="S79" s="401" t="s">
        <v>234</v>
      </c>
      <c r="T79" s="308"/>
      <c r="U79" s="402" t="s">
        <v>250</v>
      </c>
      <c r="V79" s="403"/>
      <c r="W79" s="38">
        <v>2500</v>
      </c>
      <c r="X79" s="38">
        <v>2700</v>
      </c>
      <c r="Y79" s="38">
        <v>3000</v>
      </c>
      <c r="Z79" s="432" t="s">
        <v>287</v>
      </c>
      <c r="AA79" s="433"/>
      <c r="AB79" s="275" t="s">
        <v>288</v>
      </c>
      <c r="AC79" s="444"/>
      <c r="AD79" s="75">
        <v>700</v>
      </c>
      <c r="AE79" s="72"/>
      <c r="AF79" s="72">
        <v>850</v>
      </c>
    </row>
    <row r="80" spans="14:32">
      <c r="N80" s="215" t="s">
        <v>422</v>
      </c>
      <c r="O80" s="218" t="s">
        <v>65</v>
      </c>
      <c r="P80" s="38">
        <v>2100</v>
      </c>
      <c r="Q80" s="38">
        <v>2500</v>
      </c>
      <c r="R80" s="4" t="s">
        <v>84</v>
      </c>
      <c r="S80" s="421" t="s">
        <v>235</v>
      </c>
      <c r="T80" s="422"/>
      <c r="U80" s="415" t="s">
        <v>250</v>
      </c>
      <c r="V80" s="416"/>
      <c r="W80" s="38">
        <v>2500</v>
      </c>
      <c r="X80" s="38">
        <v>2700</v>
      </c>
      <c r="Y80" s="38">
        <v>3000</v>
      </c>
      <c r="Z80" s="432" t="s">
        <v>345</v>
      </c>
      <c r="AA80" s="433"/>
      <c r="AB80" s="469" t="s">
        <v>74</v>
      </c>
      <c r="AC80" s="470"/>
      <c r="AD80" s="75">
        <v>300</v>
      </c>
      <c r="AE80" s="72"/>
      <c r="AF80" s="72"/>
    </row>
    <row r="81" spans="14:32">
      <c r="N81" s="215" t="s">
        <v>423</v>
      </c>
      <c r="O81" s="218" t="s">
        <v>65</v>
      </c>
      <c r="P81" s="38">
        <v>1850</v>
      </c>
      <c r="Q81" s="38">
        <v>2200</v>
      </c>
      <c r="R81" s="4" t="s">
        <v>84</v>
      </c>
      <c r="S81" s="401" t="s">
        <v>236</v>
      </c>
      <c r="T81" s="308"/>
      <c r="U81" s="402" t="s">
        <v>250</v>
      </c>
      <c r="V81" s="403"/>
      <c r="W81" s="38">
        <v>2500</v>
      </c>
      <c r="X81" s="38">
        <v>2800</v>
      </c>
      <c r="Y81" s="38">
        <v>3000</v>
      </c>
      <c r="Z81" s="432" t="s">
        <v>286</v>
      </c>
      <c r="AA81" s="433"/>
      <c r="AB81" s="469"/>
      <c r="AC81" s="470"/>
      <c r="AD81" s="75">
        <v>500</v>
      </c>
      <c r="AE81" s="72"/>
      <c r="AF81" s="72">
        <v>600</v>
      </c>
    </row>
    <row r="82" spans="14:32">
      <c r="N82" s="215" t="s">
        <v>191</v>
      </c>
      <c r="O82" s="218" t="s">
        <v>208</v>
      </c>
      <c r="P82" s="38">
        <v>200</v>
      </c>
      <c r="Q82" s="38">
        <v>250</v>
      </c>
      <c r="R82" s="4" t="s">
        <v>85</v>
      </c>
      <c r="S82" s="421" t="s">
        <v>237</v>
      </c>
      <c r="T82" s="422"/>
      <c r="U82" s="415" t="s">
        <v>250</v>
      </c>
      <c r="V82" s="416"/>
      <c r="W82" s="38">
        <v>2600</v>
      </c>
      <c r="X82" s="38">
        <v>2900</v>
      </c>
      <c r="Y82" s="38">
        <v>3200</v>
      </c>
      <c r="Z82" s="432" t="s">
        <v>316</v>
      </c>
      <c r="AA82" s="433"/>
      <c r="AB82" s="278" t="s">
        <v>317</v>
      </c>
      <c r="AC82" s="275"/>
      <c r="AD82" s="75">
        <v>300</v>
      </c>
      <c r="AE82" s="72"/>
      <c r="AF82" s="72">
        <v>400</v>
      </c>
    </row>
    <row r="83" spans="14:32">
      <c r="N83" s="215" t="s">
        <v>192</v>
      </c>
      <c r="O83" s="218" t="s">
        <v>209</v>
      </c>
      <c r="P83" s="38">
        <v>2200</v>
      </c>
      <c r="Q83" s="38">
        <v>3000</v>
      </c>
      <c r="R83" s="4" t="s">
        <v>85</v>
      </c>
      <c r="S83" s="401" t="s">
        <v>238</v>
      </c>
      <c r="T83" s="308"/>
      <c r="U83" s="402" t="s">
        <v>250</v>
      </c>
      <c r="V83" s="403"/>
      <c r="W83" s="38">
        <v>2700</v>
      </c>
      <c r="X83" s="38">
        <v>3000</v>
      </c>
      <c r="Y83" s="38">
        <v>3300</v>
      </c>
      <c r="Z83" s="432" t="s">
        <v>289</v>
      </c>
      <c r="AA83" s="433"/>
      <c r="AB83" s="275" t="s">
        <v>315</v>
      </c>
      <c r="AC83" s="444"/>
      <c r="AD83" s="75">
        <v>350</v>
      </c>
      <c r="AE83" s="72"/>
      <c r="AF83" s="72">
        <v>450</v>
      </c>
    </row>
    <row r="84" spans="14:32">
      <c r="N84" s="215" t="s">
        <v>193</v>
      </c>
      <c r="O84" s="218" t="s">
        <v>209</v>
      </c>
      <c r="P84" s="38">
        <v>5500</v>
      </c>
      <c r="Q84" s="38">
        <v>7200</v>
      </c>
      <c r="R84" s="4" t="s">
        <v>84</v>
      </c>
      <c r="S84" s="421" t="s">
        <v>239</v>
      </c>
      <c r="T84" s="422"/>
      <c r="U84" s="415" t="s">
        <v>250</v>
      </c>
      <c r="V84" s="416"/>
      <c r="W84" s="38">
        <v>2800</v>
      </c>
      <c r="X84" s="38">
        <v>3100</v>
      </c>
      <c r="Y84" s="38">
        <v>3320</v>
      </c>
      <c r="Z84" s="432" t="s">
        <v>285</v>
      </c>
      <c r="AA84" s="433"/>
      <c r="AB84" s="469"/>
      <c r="AC84" s="470"/>
      <c r="AD84" s="75">
        <v>600</v>
      </c>
      <c r="AE84" s="72"/>
      <c r="AF84" s="72">
        <v>750</v>
      </c>
    </row>
    <row r="85" spans="14:32">
      <c r="N85" s="215" t="s">
        <v>194</v>
      </c>
      <c r="O85" s="218" t="s">
        <v>209</v>
      </c>
      <c r="P85" s="38">
        <v>11000</v>
      </c>
      <c r="Q85" s="38">
        <v>14000</v>
      </c>
      <c r="R85" s="4" t="s">
        <v>85</v>
      </c>
      <c r="S85" s="401" t="s">
        <v>240</v>
      </c>
      <c r="T85" s="308"/>
      <c r="U85" s="402" t="s">
        <v>251</v>
      </c>
      <c r="V85" s="403"/>
      <c r="W85" s="38">
        <v>2800</v>
      </c>
      <c r="X85" s="38">
        <v>3100</v>
      </c>
      <c r="Y85" s="38">
        <v>3400</v>
      </c>
      <c r="Z85" s="478" t="s">
        <v>308</v>
      </c>
      <c r="AA85" s="473"/>
      <c r="AB85" s="471" t="s">
        <v>64</v>
      </c>
      <c r="AC85" s="471"/>
      <c r="AD85" s="75"/>
      <c r="AE85" s="72">
        <v>650</v>
      </c>
      <c r="AF85" s="72"/>
    </row>
    <row r="86" spans="14:32">
      <c r="N86" s="215" t="s">
        <v>195</v>
      </c>
      <c r="O86" s="218" t="s">
        <v>210</v>
      </c>
      <c r="P86" s="38">
        <v>150</v>
      </c>
      <c r="Q86" s="38">
        <v>200</v>
      </c>
      <c r="R86" s="4" t="s">
        <v>39</v>
      </c>
      <c r="S86" s="421" t="s">
        <v>241</v>
      </c>
      <c r="T86" s="422"/>
      <c r="U86" s="415" t="s">
        <v>251</v>
      </c>
      <c r="V86" s="416"/>
      <c r="W86" s="38">
        <v>2800</v>
      </c>
      <c r="X86" s="38">
        <v>3100</v>
      </c>
      <c r="Y86" s="38">
        <v>3400</v>
      </c>
      <c r="Z86" s="475" t="s">
        <v>309</v>
      </c>
      <c r="AA86" s="476"/>
      <c r="AB86" s="477" t="s">
        <v>310</v>
      </c>
      <c r="AC86" s="450"/>
      <c r="AD86" s="75"/>
      <c r="AE86" s="72">
        <v>360</v>
      </c>
      <c r="AF86" s="72"/>
    </row>
    <row r="87" spans="14:32">
      <c r="N87" s="215" t="s">
        <v>196</v>
      </c>
      <c r="O87" s="213" t="s">
        <v>211</v>
      </c>
      <c r="P87" s="38">
        <v>100</v>
      </c>
      <c r="Q87" s="38">
        <v>150</v>
      </c>
      <c r="R87" s="4" t="s">
        <v>84</v>
      </c>
      <c r="S87" s="401" t="s">
        <v>242</v>
      </c>
      <c r="T87" s="308"/>
      <c r="U87" s="402" t="s">
        <v>252</v>
      </c>
      <c r="V87" s="403"/>
      <c r="W87" s="38">
        <v>2700</v>
      </c>
      <c r="X87" s="38">
        <v>3000</v>
      </c>
      <c r="Y87" s="38">
        <v>3300</v>
      </c>
      <c r="Z87" s="432" t="s">
        <v>365</v>
      </c>
      <c r="AA87" s="433"/>
      <c r="AB87" s="469" t="s">
        <v>74</v>
      </c>
      <c r="AC87" s="470"/>
      <c r="AD87" s="75">
        <v>200</v>
      </c>
      <c r="AE87" s="72">
        <v>250</v>
      </c>
      <c r="AF87" s="72">
        <v>300</v>
      </c>
    </row>
    <row r="88" spans="14:32">
      <c r="N88" s="215" t="s">
        <v>197</v>
      </c>
      <c r="O88" s="218" t="s">
        <v>212</v>
      </c>
      <c r="P88" s="39">
        <v>600</v>
      </c>
      <c r="Q88" s="38">
        <v>800</v>
      </c>
      <c r="R88" s="4" t="s">
        <v>85</v>
      </c>
      <c r="S88" s="421" t="s">
        <v>243</v>
      </c>
      <c r="T88" s="422"/>
      <c r="U88" s="415" t="s">
        <v>252</v>
      </c>
      <c r="V88" s="416"/>
      <c r="W88" s="38">
        <v>2700</v>
      </c>
      <c r="X88" s="38">
        <v>3000</v>
      </c>
      <c r="Y88" s="38">
        <v>3300</v>
      </c>
      <c r="Z88" s="475" t="s">
        <v>358</v>
      </c>
      <c r="AA88" s="476"/>
      <c r="AB88" s="477" t="s">
        <v>252</v>
      </c>
      <c r="AC88" s="450"/>
      <c r="AD88" s="72">
        <v>2700</v>
      </c>
      <c r="AE88" s="72">
        <v>3000</v>
      </c>
      <c r="AF88" s="72">
        <v>3300</v>
      </c>
    </row>
    <row r="89" spans="14:32">
      <c r="N89" s="215" t="s">
        <v>198</v>
      </c>
      <c r="O89" s="217" t="s">
        <v>174</v>
      </c>
      <c r="P89" s="21">
        <v>200</v>
      </c>
      <c r="Q89" s="41">
        <v>250</v>
      </c>
      <c r="R89" s="4" t="s">
        <v>85</v>
      </c>
      <c r="S89" s="401" t="s">
        <v>244</v>
      </c>
      <c r="T89" s="308"/>
      <c r="U89" s="402" t="s">
        <v>253</v>
      </c>
      <c r="V89" s="403"/>
      <c r="W89" s="38">
        <v>9500</v>
      </c>
      <c r="X89" s="38">
        <v>11000</v>
      </c>
      <c r="Y89" s="38">
        <v>12000</v>
      </c>
      <c r="Z89" s="474"/>
      <c r="AA89" s="469"/>
      <c r="AB89" s="469"/>
      <c r="AC89" s="470"/>
      <c r="AD89" s="76"/>
      <c r="AE89" s="76"/>
      <c r="AF89" s="76"/>
    </row>
    <row r="90" spans="14:32">
      <c r="N90" s="215" t="s">
        <v>199</v>
      </c>
      <c r="O90" s="217" t="s">
        <v>86</v>
      </c>
      <c r="P90" s="21">
        <v>13000</v>
      </c>
      <c r="Q90" s="41">
        <v>16000</v>
      </c>
      <c r="R90" s="4" t="s">
        <v>85</v>
      </c>
      <c r="S90" s="401" t="s">
        <v>245</v>
      </c>
      <c r="T90" s="308"/>
      <c r="U90" s="402" t="s">
        <v>254</v>
      </c>
      <c r="V90" s="403"/>
      <c r="W90" s="38">
        <v>650</v>
      </c>
      <c r="X90" s="38">
        <v>750</v>
      </c>
      <c r="Y90" s="38">
        <v>800</v>
      </c>
      <c r="Z90" s="474"/>
      <c r="AA90" s="469"/>
      <c r="AB90" s="469"/>
      <c r="AC90" s="470"/>
      <c r="AD90" s="75"/>
      <c r="AE90" s="72"/>
      <c r="AF90" s="72"/>
    </row>
    <row r="91" spans="14:32">
      <c r="N91" s="215" t="s">
        <v>200</v>
      </c>
      <c r="O91" s="217" t="s">
        <v>213</v>
      </c>
      <c r="P91" s="21">
        <v>3000</v>
      </c>
      <c r="Q91" s="41">
        <v>4200</v>
      </c>
      <c r="R91" s="4" t="s">
        <v>85</v>
      </c>
      <c r="S91" s="421" t="s">
        <v>246</v>
      </c>
      <c r="T91" s="422"/>
      <c r="U91" s="415" t="s">
        <v>255</v>
      </c>
      <c r="V91" s="416"/>
      <c r="W91" s="38">
        <v>100</v>
      </c>
      <c r="X91" s="38">
        <v>135</v>
      </c>
      <c r="Y91" s="38">
        <v>135</v>
      </c>
      <c r="Z91" s="432" t="s">
        <v>337</v>
      </c>
      <c r="AA91" s="433"/>
      <c r="AB91" s="275" t="s">
        <v>339</v>
      </c>
      <c r="AC91" s="444"/>
      <c r="AD91" s="75">
        <v>550</v>
      </c>
      <c r="AE91" s="72"/>
      <c r="AF91" s="72">
        <v>700</v>
      </c>
    </row>
    <row r="92" spans="14:32">
      <c r="N92" s="215" t="s">
        <v>201</v>
      </c>
      <c r="O92" s="217" t="s">
        <v>87</v>
      </c>
      <c r="P92" s="21">
        <v>1400</v>
      </c>
      <c r="Q92" s="41">
        <v>1800</v>
      </c>
      <c r="R92" s="4"/>
      <c r="S92" s="401" t="s">
        <v>247</v>
      </c>
      <c r="T92" s="308"/>
      <c r="U92" s="402" t="s">
        <v>256</v>
      </c>
      <c r="V92" s="403"/>
      <c r="W92" s="38">
        <v>700</v>
      </c>
      <c r="X92" s="38">
        <v>800</v>
      </c>
      <c r="Y92" s="38">
        <v>850</v>
      </c>
      <c r="Z92" s="432" t="s">
        <v>338</v>
      </c>
      <c r="AA92" s="433"/>
      <c r="AB92" s="275" t="s">
        <v>340</v>
      </c>
      <c r="AC92" s="444"/>
      <c r="AD92" s="75">
        <v>450</v>
      </c>
      <c r="AE92" s="72"/>
      <c r="AF92" s="72">
        <v>550</v>
      </c>
    </row>
    <row r="93" spans="14:32">
      <c r="N93" s="215" t="s">
        <v>202</v>
      </c>
      <c r="O93" s="217" t="s">
        <v>88</v>
      </c>
      <c r="P93" s="21">
        <v>1900</v>
      </c>
      <c r="Q93" s="41">
        <v>2400</v>
      </c>
      <c r="R93" s="4"/>
      <c r="S93" s="401" t="s">
        <v>263</v>
      </c>
      <c r="T93" s="308"/>
      <c r="U93" s="402" t="s">
        <v>250</v>
      </c>
      <c r="V93" s="403"/>
      <c r="W93" s="6">
        <v>2100</v>
      </c>
      <c r="X93" s="6">
        <v>2400</v>
      </c>
      <c r="Y93" s="6">
        <v>2600</v>
      </c>
      <c r="Z93" s="472" t="s">
        <v>311</v>
      </c>
      <c r="AA93" s="473"/>
      <c r="AB93" s="471" t="s">
        <v>312</v>
      </c>
      <c r="AC93" s="471"/>
      <c r="AD93" s="76"/>
      <c r="AE93" s="76"/>
      <c r="AF93" s="76"/>
    </row>
    <row r="94" spans="14:32">
      <c r="N94" s="215" t="s">
        <v>203</v>
      </c>
      <c r="O94" s="217" t="s">
        <v>89</v>
      </c>
      <c r="P94" s="21">
        <v>460</v>
      </c>
      <c r="Q94" s="41">
        <v>600</v>
      </c>
      <c r="R94" s="91"/>
      <c r="S94" s="92"/>
      <c r="T94" s="92"/>
      <c r="U94" s="53"/>
      <c r="V94" s="53"/>
      <c r="Z94" s="300" t="s">
        <v>38</v>
      </c>
      <c r="AA94" s="300"/>
      <c r="AB94" s="300"/>
      <c r="AC94" s="300"/>
      <c r="AD94" s="300"/>
      <c r="AE94" s="440"/>
      <c r="AF94" s="440"/>
    </row>
    <row r="95" spans="14:32">
      <c r="N95" s="215" t="s">
        <v>204</v>
      </c>
      <c r="O95" s="216" t="s">
        <v>214</v>
      </c>
      <c r="P95" s="21">
        <v>200</v>
      </c>
      <c r="Q95" s="41">
        <v>200</v>
      </c>
      <c r="R95" s="91"/>
      <c r="S95" s="91"/>
      <c r="T95" s="91"/>
      <c r="V95" s="53"/>
    </row>
    <row r="96" spans="14:32">
      <c r="N96" s="212" t="s">
        <v>311</v>
      </c>
      <c r="O96" s="213" t="s">
        <v>312</v>
      </c>
      <c r="P96" s="58">
        <v>100</v>
      </c>
      <c r="Q96" s="41">
        <v>150</v>
      </c>
    </row>
    <row r="97" spans="14:17">
      <c r="N97" s="221" t="s">
        <v>342</v>
      </c>
      <c r="O97" s="214" t="s">
        <v>341</v>
      </c>
      <c r="P97" s="21">
        <v>560</v>
      </c>
      <c r="Q97" s="41">
        <v>700</v>
      </c>
    </row>
    <row r="98" spans="14:17">
      <c r="N98" s="91" t="s">
        <v>33</v>
      </c>
      <c r="O98" s="91"/>
      <c r="P98" s="91"/>
      <c r="Q98" s="91"/>
    </row>
    <row r="99" spans="14:17">
      <c r="N99" s="91" t="s">
        <v>34</v>
      </c>
      <c r="O99" s="91"/>
      <c r="P99" s="91"/>
      <c r="Q99" s="91"/>
    </row>
    <row r="119" spans="16:26" ht="55.5">
      <c r="R119" s="93"/>
      <c r="S119" s="93"/>
      <c r="T119" s="93"/>
      <c r="U119" s="93"/>
      <c r="V119" s="93"/>
      <c r="W119" s="93"/>
      <c r="X119" s="93"/>
      <c r="Y119" s="93"/>
      <c r="Z119" s="93"/>
    </row>
    <row r="120" spans="16:26" ht="55.5">
      <c r="R120" s="93"/>
      <c r="S120" s="93"/>
      <c r="T120" s="93"/>
      <c r="U120" s="93"/>
      <c r="V120" s="93"/>
      <c r="W120" s="93"/>
      <c r="X120" s="93"/>
      <c r="Y120" s="93"/>
      <c r="Z120" s="93"/>
    </row>
    <row r="121" spans="16:26" ht="55.5">
      <c r="R121" s="93"/>
      <c r="S121" s="93"/>
      <c r="T121" s="93"/>
      <c r="U121" s="93"/>
      <c r="V121" s="93"/>
      <c r="W121" s="93"/>
      <c r="X121" s="93"/>
      <c r="Y121" s="93"/>
      <c r="Z121" s="93"/>
    </row>
    <row r="122" spans="16:26" ht="55.5">
      <c r="R122" s="93"/>
      <c r="S122" s="93"/>
      <c r="T122" s="93"/>
      <c r="U122" s="93"/>
      <c r="V122" s="93"/>
      <c r="W122" s="93"/>
      <c r="X122" s="93"/>
      <c r="Y122" s="93"/>
      <c r="Z122" s="93"/>
    </row>
    <row r="123" spans="16:26" ht="55.5">
      <c r="P123" s="93"/>
      <c r="Q123" s="93"/>
      <c r="R123" s="93"/>
      <c r="S123" s="93"/>
      <c r="T123" s="93"/>
      <c r="U123" s="93"/>
      <c r="V123" s="93"/>
      <c r="W123" s="93"/>
      <c r="X123" s="93"/>
      <c r="Y123" s="93"/>
      <c r="Z123" s="93"/>
    </row>
    <row r="124" spans="16:26" ht="55.5">
      <c r="P124" s="93"/>
      <c r="Q124" s="93"/>
      <c r="R124" s="93"/>
      <c r="S124" s="93"/>
      <c r="T124" s="93"/>
      <c r="U124" s="93"/>
      <c r="V124" s="93"/>
      <c r="W124" s="93"/>
      <c r="X124" s="93"/>
      <c r="Y124" s="93"/>
      <c r="Z124" s="93"/>
    </row>
    <row r="125" spans="16:26" ht="55.5">
      <c r="P125" s="93"/>
      <c r="Q125" s="93"/>
      <c r="R125" s="93"/>
      <c r="S125" s="93"/>
      <c r="T125" s="93"/>
      <c r="U125" s="93"/>
      <c r="V125" s="93"/>
      <c r="W125" s="93"/>
      <c r="X125" s="93"/>
      <c r="Y125" s="93"/>
      <c r="Z125" s="93"/>
    </row>
    <row r="126" spans="16:26" ht="55.5">
      <c r="P126" s="93"/>
      <c r="Q126" s="93"/>
    </row>
    <row r="127" spans="16:26" ht="55.5">
      <c r="P127" s="93"/>
      <c r="Q127" s="93"/>
    </row>
    <row r="128" spans="16:26" ht="55.5">
      <c r="P128" s="93"/>
      <c r="Q128" s="93"/>
    </row>
    <row r="129" spans="16:17" ht="55.5">
      <c r="P129" s="93"/>
      <c r="Q129" s="93"/>
    </row>
  </sheetData>
  <mergeCells count="347">
    <mergeCell ref="S93:T93"/>
    <mergeCell ref="U93:V93"/>
    <mergeCell ref="Z93:AA93"/>
    <mergeCell ref="AB93:AC93"/>
    <mergeCell ref="Z94:AF94"/>
    <mergeCell ref="S91:T91"/>
    <mergeCell ref="U91:V91"/>
    <mergeCell ref="Z91:AA91"/>
    <mergeCell ref="AB91:AC91"/>
    <mergeCell ref="S92:T92"/>
    <mergeCell ref="U92:V92"/>
    <mergeCell ref="Z92:AA92"/>
    <mergeCell ref="AB92:AC92"/>
    <mergeCell ref="S89:T89"/>
    <mergeCell ref="U89:V89"/>
    <mergeCell ref="Z89:AA89"/>
    <mergeCell ref="AB89:AC89"/>
    <mergeCell ref="S90:T90"/>
    <mergeCell ref="U90:V90"/>
    <mergeCell ref="Z90:AA90"/>
    <mergeCell ref="AB90:AC90"/>
    <mergeCell ref="S87:T87"/>
    <mergeCell ref="U87:V87"/>
    <mergeCell ref="Z87:AA87"/>
    <mergeCell ref="AB87:AC87"/>
    <mergeCell ref="S88:T88"/>
    <mergeCell ref="U88:V88"/>
    <mergeCell ref="Z88:AA88"/>
    <mergeCell ref="AB88:AC88"/>
    <mergeCell ref="S85:T85"/>
    <mergeCell ref="U85:V85"/>
    <mergeCell ref="Z85:AA85"/>
    <mergeCell ref="AB85:AC85"/>
    <mergeCell ref="S86:T86"/>
    <mergeCell ref="U86:V86"/>
    <mergeCell ref="Z86:AA86"/>
    <mergeCell ref="AB86:AC86"/>
    <mergeCell ref="S83:T83"/>
    <mergeCell ref="U83:V83"/>
    <mergeCell ref="Z83:AA83"/>
    <mergeCell ref="AB83:AC83"/>
    <mergeCell ref="S84:T84"/>
    <mergeCell ref="U84:V84"/>
    <mergeCell ref="Z84:AA84"/>
    <mergeCell ref="AB84:AC84"/>
    <mergeCell ref="S81:T81"/>
    <mergeCell ref="U81:V81"/>
    <mergeCell ref="Z81:AA81"/>
    <mergeCell ref="AB81:AC81"/>
    <mergeCell ref="S82:T82"/>
    <mergeCell ref="U82:V82"/>
    <mergeCell ref="Z82:AA82"/>
    <mergeCell ref="AB82:AC82"/>
    <mergeCell ref="S79:T79"/>
    <mergeCell ref="U79:V79"/>
    <mergeCell ref="Z79:AA79"/>
    <mergeCell ref="AB79:AC79"/>
    <mergeCell ref="S80:T80"/>
    <mergeCell ref="U80:V80"/>
    <mergeCell ref="Z80:AA80"/>
    <mergeCell ref="AB80:AC80"/>
    <mergeCell ref="S77:T77"/>
    <mergeCell ref="U77:V77"/>
    <mergeCell ref="Z77:AA77"/>
    <mergeCell ref="AB77:AC77"/>
    <mergeCell ref="S78:T78"/>
    <mergeCell ref="U78:V78"/>
    <mergeCell ref="Z78:AA78"/>
    <mergeCell ref="AB78:AC78"/>
    <mergeCell ref="S75:T75"/>
    <mergeCell ref="U75:V75"/>
    <mergeCell ref="Z75:AA75"/>
    <mergeCell ref="AB75:AC75"/>
    <mergeCell ref="S76:T76"/>
    <mergeCell ref="U76:V76"/>
    <mergeCell ref="Z76:AA76"/>
    <mergeCell ref="AB76:AC76"/>
    <mergeCell ref="S73:T73"/>
    <mergeCell ref="U73:V73"/>
    <mergeCell ref="Z73:AA73"/>
    <mergeCell ref="AB73:AC73"/>
    <mergeCell ref="S74:T74"/>
    <mergeCell ref="U74:V74"/>
    <mergeCell ref="Z74:AA74"/>
    <mergeCell ref="AB74:AC74"/>
    <mergeCell ref="S71:T71"/>
    <mergeCell ref="U71:V71"/>
    <mergeCell ref="Z71:AA71"/>
    <mergeCell ref="AB71:AC71"/>
    <mergeCell ref="S72:T72"/>
    <mergeCell ref="U72:V72"/>
    <mergeCell ref="Z72:AA72"/>
    <mergeCell ref="AB72:AC72"/>
    <mergeCell ref="S69:T69"/>
    <mergeCell ref="U69:V69"/>
    <mergeCell ref="Z69:AA69"/>
    <mergeCell ref="AB69:AC69"/>
    <mergeCell ref="S70:T70"/>
    <mergeCell ref="U70:V70"/>
    <mergeCell ref="Z70:AA70"/>
    <mergeCell ref="AB70:AC70"/>
    <mergeCell ref="S67:T67"/>
    <mergeCell ref="U67:V67"/>
    <mergeCell ref="Z67:AA67"/>
    <mergeCell ref="AB67:AC67"/>
    <mergeCell ref="S68:T68"/>
    <mergeCell ref="U68:V68"/>
    <mergeCell ref="Z68:AA68"/>
    <mergeCell ref="AB68:AC68"/>
    <mergeCell ref="S65:T65"/>
    <mergeCell ref="U65:V65"/>
    <mergeCell ref="Z65:AA65"/>
    <mergeCell ref="AB65:AC65"/>
    <mergeCell ref="S66:T66"/>
    <mergeCell ref="U66:V66"/>
    <mergeCell ref="Z66:AA66"/>
    <mergeCell ref="AB66:AC66"/>
    <mergeCell ref="S63:T63"/>
    <mergeCell ref="U63:V63"/>
    <mergeCell ref="Z63:AA63"/>
    <mergeCell ref="AB63:AC63"/>
    <mergeCell ref="S64:T64"/>
    <mergeCell ref="U64:V64"/>
    <mergeCell ref="Z64:AA64"/>
    <mergeCell ref="AB64:AC64"/>
    <mergeCell ref="N62:O62"/>
    <mergeCell ref="S62:T62"/>
    <mergeCell ref="U62:V62"/>
    <mergeCell ref="Z62:AA62"/>
    <mergeCell ref="AB62:AC62"/>
    <mergeCell ref="N61:O61"/>
    <mergeCell ref="S61:T61"/>
    <mergeCell ref="U61:V61"/>
    <mergeCell ref="Z61:AA61"/>
    <mergeCell ref="AB61:AC61"/>
    <mergeCell ref="S59:T59"/>
    <mergeCell ref="U59:V59"/>
    <mergeCell ref="Z59:AA59"/>
    <mergeCell ref="AB59:AC59"/>
    <mergeCell ref="S60:T60"/>
    <mergeCell ref="U60:V60"/>
    <mergeCell ref="Z60:AA60"/>
    <mergeCell ref="AB60:AC60"/>
    <mergeCell ref="Z57:AC57"/>
    <mergeCell ref="S58:T58"/>
    <mergeCell ref="U58:V58"/>
    <mergeCell ref="Z58:AA58"/>
    <mergeCell ref="AB58:AC58"/>
    <mergeCell ref="S52:T52"/>
    <mergeCell ref="U52:V52"/>
    <mergeCell ref="S53:T53"/>
    <mergeCell ref="U53:V53"/>
    <mergeCell ref="S54:T54"/>
    <mergeCell ref="U54:V54"/>
    <mergeCell ref="Z48:AF48"/>
    <mergeCell ref="S50:T50"/>
    <mergeCell ref="U50:V50"/>
    <mergeCell ref="S51:T51"/>
    <mergeCell ref="U51:V51"/>
    <mergeCell ref="S46:T46"/>
    <mergeCell ref="U46:V46"/>
    <mergeCell ref="Z46:AA46"/>
    <mergeCell ref="AB46:AC46"/>
    <mergeCell ref="S47:T47"/>
    <mergeCell ref="U47:V47"/>
    <mergeCell ref="Z47:AA47"/>
    <mergeCell ref="AB47:AC47"/>
    <mergeCell ref="S44:T44"/>
    <mergeCell ref="U44:V44"/>
    <mergeCell ref="Z44:AA44"/>
    <mergeCell ref="AB44:AC44"/>
    <mergeCell ref="S45:T45"/>
    <mergeCell ref="U45:V45"/>
    <mergeCell ref="Z45:AA45"/>
    <mergeCell ref="AB45:AC45"/>
    <mergeCell ref="S42:T42"/>
    <mergeCell ref="U42:V42"/>
    <mergeCell ref="Z42:AA42"/>
    <mergeCell ref="AB42:AC42"/>
    <mergeCell ref="S43:T43"/>
    <mergeCell ref="U43:V43"/>
    <mergeCell ref="Z43:AA43"/>
    <mergeCell ref="AB43:AC43"/>
    <mergeCell ref="S40:T40"/>
    <mergeCell ref="U40:V40"/>
    <mergeCell ref="Z40:AA40"/>
    <mergeCell ref="AB40:AC40"/>
    <mergeCell ref="S41:T41"/>
    <mergeCell ref="U41:V41"/>
    <mergeCell ref="Z41:AA41"/>
    <mergeCell ref="AB41:AC41"/>
    <mergeCell ref="S38:T38"/>
    <mergeCell ref="U38:V38"/>
    <mergeCell ref="Z38:AA38"/>
    <mergeCell ref="AB38:AC38"/>
    <mergeCell ref="S39:T39"/>
    <mergeCell ref="U39:V39"/>
    <mergeCell ref="Z39:AA39"/>
    <mergeCell ref="AB39:AC39"/>
    <mergeCell ref="S36:T36"/>
    <mergeCell ref="U36:V36"/>
    <mergeCell ref="Z36:AA36"/>
    <mergeCell ref="AB36:AC36"/>
    <mergeCell ref="S37:T37"/>
    <mergeCell ref="U37:V37"/>
    <mergeCell ref="Z37:AA37"/>
    <mergeCell ref="AB37:AC37"/>
    <mergeCell ref="S34:T34"/>
    <mergeCell ref="U34:V34"/>
    <mergeCell ref="Z34:AA34"/>
    <mergeCell ref="AB34:AC34"/>
    <mergeCell ref="S35:T35"/>
    <mergeCell ref="U35:V35"/>
    <mergeCell ref="Z35:AA35"/>
    <mergeCell ref="AB35:AC35"/>
    <mergeCell ref="S32:T32"/>
    <mergeCell ref="U32:V32"/>
    <mergeCell ref="Z32:AA32"/>
    <mergeCell ref="AB32:AC32"/>
    <mergeCell ref="S33:T33"/>
    <mergeCell ref="U33:V33"/>
    <mergeCell ref="Z33:AA33"/>
    <mergeCell ref="AB33:AC33"/>
    <mergeCell ref="S30:T30"/>
    <mergeCell ref="U30:V30"/>
    <mergeCell ref="Z30:AA30"/>
    <mergeCell ref="AB30:AC30"/>
    <mergeCell ref="S31:T31"/>
    <mergeCell ref="U31:V31"/>
    <mergeCell ref="Z31:AA31"/>
    <mergeCell ref="AB31:AC31"/>
    <mergeCell ref="S28:T28"/>
    <mergeCell ref="U28:V28"/>
    <mergeCell ref="Z28:AA28"/>
    <mergeCell ref="AB28:AC28"/>
    <mergeCell ref="S29:T29"/>
    <mergeCell ref="U29:V29"/>
    <mergeCell ref="Z29:AA29"/>
    <mergeCell ref="AB29:AC29"/>
    <mergeCell ref="S26:T26"/>
    <mergeCell ref="U26:V26"/>
    <mergeCell ref="Z26:AA26"/>
    <mergeCell ref="AB26:AC26"/>
    <mergeCell ref="S27:T27"/>
    <mergeCell ref="U27:V27"/>
    <mergeCell ref="Z27:AA27"/>
    <mergeCell ref="AB27:AC27"/>
    <mergeCell ref="S24:T24"/>
    <mergeCell ref="U24:V24"/>
    <mergeCell ref="Z24:AA24"/>
    <mergeCell ref="AB24:AC24"/>
    <mergeCell ref="S25:T25"/>
    <mergeCell ref="U25:V25"/>
    <mergeCell ref="Z25:AA25"/>
    <mergeCell ref="AB25:AC25"/>
    <mergeCell ref="S22:T22"/>
    <mergeCell ref="U22:V22"/>
    <mergeCell ref="Z22:AA22"/>
    <mergeCell ref="AB22:AC22"/>
    <mergeCell ref="S23:T23"/>
    <mergeCell ref="U23:V23"/>
    <mergeCell ref="Z23:AA23"/>
    <mergeCell ref="AB23:AC23"/>
    <mergeCell ref="S20:T20"/>
    <mergeCell ref="U20:V20"/>
    <mergeCell ref="Z20:AA20"/>
    <mergeCell ref="AB20:AC20"/>
    <mergeCell ref="S21:T21"/>
    <mergeCell ref="U21:V21"/>
    <mergeCell ref="Z21:AA21"/>
    <mergeCell ref="AB21:AC21"/>
    <mergeCell ref="S18:T18"/>
    <mergeCell ref="U18:V18"/>
    <mergeCell ref="Z18:AA18"/>
    <mergeCell ref="AB18:AC18"/>
    <mergeCell ref="S19:T19"/>
    <mergeCell ref="U19:V19"/>
    <mergeCell ref="Z19:AA19"/>
    <mergeCell ref="AB19:AC19"/>
    <mergeCell ref="S16:T16"/>
    <mergeCell ref="U16:V16"/>
    <mergeCell ref="Z16:AA16"/>
    <mergeCell ref="AB16:AC16"/>
    <mergeCell ref="S17:T17"/>
    <mergeCell ref="U17:V17"/>
    <mergeCell ref="Z17:AA17"/>
    <mergeCell ref="AB17:AC17"/>
    <mergeCell ref="S14:T14"/>
    <mergeCell ref="U14:V14"/>
    <mergeCell ref="Z14:AA14"/>
    <mergeCell ref="AB14:AC14"/>
    <mergeCell ref="S15:T15"/>
    <mergeCell ref="U15:V15"/>
    <mergeCell ref="Z15:AA15"/>
    <mergeCell ref="AB15:AC15"/>
    <mergeCell ref="S12:T12"/>
    <mergeCell ref="U12:V12"/>
    <mergeCell ref="Z12:AA12"/>
    <mergeCell ref="AB12:AC12"/>
    <mergeCell ref="S13:T13"/>
    <mergeCell ref="U13:V13"/>
    <mergeCell ref="Z13:AA13"/>
    <mergeCell ref="AB13:AC13"/>
    <mergeCell ref="S9:T9"/>
    <mergeCell ref="N10:O10"/>
    <mergeCell ref="R10:T10"/>
    <mergeCell ref="N11:O11"/>
    <mergeCell ref="Z11:AC11"/>
    <mergeCell ref="D37:G39"/>
    <mergeCell ref="A41:L41"/>
    <mergeCell ref="C28:I28"/>
    <mergeCell ref="C29:I29"/>
    <mergeCell ref="C30:I30"/>
    <mergeCell ref="C31:I31"/>
    <mergeCell ref="C32:I32"/>
    <mergeCell ref="D36:G36"/>
    <mergeCell ref="C27:I27"/>
    <mergeCell ref="C16:I16"/>
    <mergeCell ref="C17:I17"/>
    <mergeCell ref="C18:I18"/>
    <mergeCell ref="C19:I19"/>
    <mergeCell ref="C20:I20"/>
    <mergeCell ref="C21:I21"/>
    <mergeCell ref="C22:I22"/>
    <mergeCell ref="C23:I23"/>
    <mergeCell ref="C24:I24"/>
    <mergeCell ref="C25:I25"/>
    <mergeCell ref="A2:L3"/>
    <mergeCell ref="C5:F5"/>
    <mergeCell ref="K5:L5"/>
    <mergeCell ref="C6:F6"/>
    <mergeCell ref="C7:F7"/>
    <mergeCell ref="G7:I7"/>
    <mergeCell ref="K7:L7"/>
    <mergeCell ref="C26:I26"/>
    <mergeCell ref="C15:I15"/>
    <mergeCell ref="C8:F8"/>
    <mergeCell ref="G8:I8"/>
    <mergeCell ref="B9:I9"/>
    <mergeCell ref="K9:L9"/>
    <mergeCell ref="B10:I10"/>
    <mergeCell ref="K10:L10"/>
    <mergeCell ref="C11:I11"/>
    <mergeCell ref="K11:L11"/>
    <mergeCell ref="C12:I12"/>
    <mergeCell ref="C13:I13"/>
    <mergeCell ref="C14:I14"/>
  </mergeCells>
  <phoneticPr fontId="1"/>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818C0-6EB9-482B-A987-464530456211}">
  <dimension ref="A1:AB45"/>
  <sheetViews>
    <sheetView workbookViewId="0">
      <selection activeCell="A6" sqref="A6:I6"/>
    </sheetView>
  </sheetViews>
  <sheetFormatPr defaultColWidth="8.625" defaultRowHeight="13.5"/>
  <cols>
    <col min="20" max="29" width="8.125" customWidth="1"/>
    <col min="276" max="285" width="8.125" customWidth="1"/>
    <col min="532" max="541" width="8.125" customWidth="1"/>
    <col min="788" max="797" width="8.125" customWidth="1"/>
    <col min="1044" max="1053" width="8.125" customWidth="1"/>
    <col min="1300" max="1309" width="8.125" customWidth="1"/>
    <col min="1556" max="1565" width="8.125" customWidth="1"/>
    <col min="1812" max="1821" width="8.125" customWidth="1"/>
    <col min="2068" max="2077" width="8.125" customWidth="1"/>
    <col min="2324" max="2333" width="8.125" customWidth="1"/>
    <col min="2580" max="2589" width="8.125" customWidth="1"/>
    <col min="2836" max="2845" width="8.125" customWidth="1"/>
    <col min="3092" max="3101" width="8.125" customWidth="1"/>
    <col min="3348" max="3357" width="8.125" customWidth="1"/>
    <col min="3604" max="3613" width="8.125" customWidth="1"/>
    <col min="3860" max="3869" width="8.125" customWidth="1"/>
    <col min="4116" max="4125" width="8.125" customWidth="1"/>
    <col min="4372" max="4381" width="8.125" customWidth="1"/>
    <col min="4628" max="4637" width="8.125" customWidth="1"/>
    <col min="4884" max="4893" width="8.125" customWidth="1"/>
    <col min="5140" max="5149" width="8.125" customWidth="1"/>
    <col min="5396" max="5405" width="8.125" customWidth="1"/>
    <col min="5652" max="5661" width="8.125" customWidth="1"/>
    <col min="5908" max="5917" width="8.125" customWidth="1"/>
    <col min="6164" max="6173" width="8.125" customWidth="1"/>
    <col min="6420" max="6429" width="8.125" customWidth="1"/>
    <col min="6676" max="6685" width="8.125" customWidth="1"/>
    <col min="6932" max="6941" width="8.125" customWidth="1"/>
    <col min="7188" max="7197" width="8.125" customWidth="1"/>
    <col min="7444" max="7453" width="8.125" customWidth="1"/>
    <col min="7700" max="7709" width="8.125" customWidth="1"/>
    <col min="7956" max="7965" width="8.125" customWidth="1"/>
    <col min="8212" max="8221" width="8.125" customWidth="1"/>
    <col min="8468" max="8477" width="8.125" customWidth="1"/>
    <col min="8724" max="8733" width="8.125" customWidth="1"/>
    <col min="8980" max="8989" width="8.125" customWidth="1"/>
    <col min="9236" max="9245" width="8.125" customWidth="1"/>
    <col min="9492" max="9501" width="8.125" customWidth="1"/>
    <col min="9748" max="9757" width="8.125" customWidth="1"/>
    <col min="10004" max="10013" width="8.125" customWidth="1"/>
    <col min="10260" max="10269" width="8.125" customWidth="1"/>
    <col min="10516" max="10525" width="8.125" customWidth="1"/>
    <col min="10772" max="10781" width="8.125" customWidth="1"/>
    <col min="11028" max="11037" width="8.125" customWidth="1"/>
    <col min="11284" max="11293" width="8.125" customWidth="1"/>
    <col min="11540" max="11549" width="8.125" customWidth="1"/>
    <col min="11796" max="11805" width="8.125" customWidth="1"/>
    <col min="12052" max="12061" width="8.125" customWidth="1"/>
    <col min="12308" max="12317" width="8.125" customWidth="1"/>
    <col min="12564" max="12573" width="8.125" customWidth="1"/>
    <col min="12820" max="12829" width="8.125" customWidth="1"/>
    <col min="13076" max="13085" width="8.125" customWidth="1"/>
    <col min="13332" max="13341" width="8.125" customWidth="1"/>
    <col min="13588" max="13597" width="8.125" customWidth="1"/>
    <col min="13844" max="13853" width="8.125" customWidth="1"/>
    <col min="14100" max="14109" width="8.125" customWidth="1"/>
    <col min="14356" max="14365" width="8.125" customWidth="1"/>
    <col min="14612" max="14621" width="8.125" customWidth="1"/>
    <col min="14868" max="14877" width="8.125" customWidth="1"/>
    <col min="15124" max="15133" width="8.125" customWidth="1"/>
    <col min="15380" max="15389" width="8.125" customWidth="1"/>
    <col min="15636" max="15645" width="8.125" customWidth="1"/>
    <col min="15892" max="15901" width="8.125" customWidth="1"/>
    <col min="16148" max="16157" width="8.125" customWidth="1"/>
  </cols>
  <sheetData>
    <row r="1" spans="1:28" ht="14.45" customHeight="1" thickBot="1">
      <c r="A1" s="354" t="s">
        <v>641</v>
      </c>
      <c r="B1" s="354"/>
      <c r="C1" s="354"/>
      <c r="D1" s="354"/>
      <c r="E1" s="354"/>
      <c r="F1" s="354"/>
      <c r="G1" s="354"/>
      <c r="H1" s="354"/>
      <c r="I1" s="354"/>
      <c r="J1" s="354"/>
      <c r="K1" s="354"/>
      <c r="L1" s="354"/>
      <c r="M1" s="354"/>
      <c r="N1" s="354"/>
      <c r="O1" s="354"/>
      <c r="T1" s="336" t="s">
        <v>642</v>
      </c>
      <c r="U1" s="488"/>
      <c r="V1" s="333" t="s">
        <v>643</v>
      </c>
      <c r="W1" s="489"/>
      <c r="X1" s="490"/>
    </row>
    <row r="2" spans="1:28" ht="14.45" customHeight="1" thickTop="1">
      <c r="A2" s="106"/>
      <c r="B2" s="106"/>
      <c r="C2" s="106"/>
      <c r="D2" s="106"/>
      <c r="E2" s="106"/>
      <c r="F2" s="106"/>
      <c r="G2" s="154"/>
      <c r="H2" s="154"/>
      <c r="I2" s="154"/>
      <c r="J2" s="154"/>
      <c r="K2" s="106"/>
      <c r="L2" s="106"/>
      <c r="M2" s="106"/>
      <c r="N2" s="106"/>
      <c r="O2" s="106"/>
      <c r="P2" s="155" t="s">
        <v>644</v>
      </c>
      <c r="Q2" s="155" t="s">
        <v>645</v>
      </c>
      <c r="R2" s="491" t="s">
        <v>646</v>
      </c>
      <c r="S2" s="381"/>
      <c r="T2" s="336" t="s">
        <v>647</v>
      </c>
      <c r="U2" s="336"/>
      <c r="V2" s="333" t="s">
        <v>648</v>
      </c>
      <c r="W2" s="489"/>
      <c r="X2" s="490"/>
    </row>
    <row r="3" spans="1:28" ht="14.45" customHeight="1">
      <c r="A3" s="106"/>
      <c r="B3" s="106"/>
      <c r="C3" s="106"/>
      <c r="D3" s="106"/>
      <c r="E3" s="106"/>
      <c r="F3" s="106"/>
      <c r="G3" s="106"/>
      <c r="H3" s="106"/>
      <c r="I3" s="106"/>
      <c r="J3" s="106"/>
      <c r="K3" s="106"/>
      <c r="L3" s="492"/>
      <c r="M3" s="492"/>
      <c r="N3" s="492"/>
      <c r="O3" s="106"/>
      <c r="P3" s="336" t="s">
        <v>649</v>
      </c>
      <c r="Q3" s="360"/>
      <c r="R3" s="336" t="s">
        <v>650</v>
      </c>
      <c r="S3" s="337"/>
      <c r="T3" s="336" t="s">
        <v>651</v>
      </c>
      <c r="U3" s="337"/>
      <c r="V3" s="493" t="s">
        <v>652</v>
      </c>
      <c r="W3" s="493"/>
      <c r="X3" s="493"/>
    </row>
    <row r="4" spans="1:28" ht="14.45" customHeight="1">
      <c r="A4" s="494" t="s">
        <v>472</v>
      </c>
      <c r="B4" s="495"/>
      <c r="C4" s="494" t="s">
        <v>473</v>
      </c>
      <c r="D4" s="495"/>
      <c r="E4" s="106"/>
      <c r="F4" s="106"/>
      <c r="G4" s="106"/>
      <c r="H4" s="106"/>
      <c r="I4" s="106"/>
      <c r="J4" s="106"/>
      <c r="K4" s="106"/>
      <c r="L4" s="106"/>
      <c r="M4" s="106"/>
      <c r="N4" s="109" t="s">
        <v>474</v>
      </c>
      <c r="O4" s="132"/>
      <c r="P4" s="155" t="s">
        <v>653</v>
      </c>
      <c r="Q4" s="156" t="s">
        <v>654</v>
      </c>
      <c r="R4" s="336" t="s">
        <v>655</v>
      </c>
      <c r="S4" s="337"/>
      <c r="T4" s="336" t="s">
        <v>478</v>
      </c>
      <c r="U4" s="488"/>
      <c r="V4" s="496" t="s">
        <v>656</v>
      </c>
      <c r="W4" s="497"/>
      <c r="X4" s="497"/>
    </row>
    <row r="5" spans="1:28" ht="14.45" customHeight="1">
      <c r="A5" s="499"/>
      <c r="B5" s="500"/>
      <c r="C5" s="501"/>
      <c r="D5" s="502"/>
      <c r="E5" s="106"/>
      <c r="F5" s="106"/>
      <c r="G5" s="106"/>
      <c r="H5" s="106"/>
      <c r="I5" s="366" t="s">
        <v>1216</v>
      </c>
      <c r="J5" s="366"/>
      <c r="K5" s="366"/>
      <c r="L5" s="366"/>
      <c r="M5" s="372"/>
      <c r="N5" s="109" t="s">
        <v>483</v>
      </c>
      <c r="O5" s="132"/>
      <c r="P5" s="336" t="s">
        <v>475</v>
      </c>
      <c r="Q5" s="336"/>
      <c r="R5" s="336" t="s">
        <v>655</v>
      </c>
      <c r="S5" s="337"/>
      <c r="T5" s="336" t="s">
        <v>657</v>
      </c>
      <c r="U5" s="488"/>
      <c r="V5" s="496" t="s">
        <v>658</v>
      </c>
      <c r="W5" s="497"/>
      <c r="X5" s="497"/>
      <c r="Y5" s="106"/>
      <c r="Z5" s="106"/>
    </row>
    <row r="6" spans="1:28" ht="14.45" customHeight="1">
      <c r="A6" s="498"/>
      <c r="B6" s="498"/>
      <c r="C6" s="498"/>
      <c r="D6" s="498"/>
      <c r="E6" s="498"/>
      <c r="F6" s="498"/>
      <c r="G6" s="498"/>
      <c r="H6" s="498"/>
      <c r="I6" s="498"/>
      <c r="J6" s="126"/>
      <c r="K6" s="126"/>
      <c r="L6" s="126"/>
      <c r="M6" s="126"/>
      <c r="N6" s="109" t="s">
        <v>489</v>
      </c>
      <c r="O6" s="109"/>
      <c r="P6" s="336" t="s">
        <v>659</v>
      </c>
      <c r="Q6" s="336"/>
      <c r="R6" s="336" t="s">
        <v>655</v>
      </c>
      <c r="S6" s="337"/>
      <c r="T6" s="336" t="s">
        <v>660</v>
      </c>
      <c r="U6" s="488"/>
      <c r="V6" s="361" t="s">
        <v>493</v>
      </c>
      <c r="W6" s="336"/>
      <c r="X6" s="369" t="s">
        <v>494</v>
      </c>
      <c r="Y6" s="369"/>
      <c r="Z6" s="126"/>
    </row>
    <row r="7" spans="1:28" ht="14.45" customHeight="1">
      <c r="A7" s="336" t="s">
        <v>495</v>
      </c>
      <c r="B7" s="336"/>
      <c r="C7" s="360" t="s">
        <v>496</v>
      </c>
      <c r="D7" s="361"/>
      <c r="E7" s="336" t="s">
        <v>497</v>
      </c>
      <c r="F7" s="336"/>
      <c r="G7" s="336"/>
      <c r="H7" s="336" t="s">
        <v>498</v>
      </c>
      <c r="I7" s="336"/>
      <c r="J7" s="336" t="s">
        <v>499</v>
      </c>
      <c r="K7" s="336"/>
      <c r="L7" s="336"/>
      <c r="M7" s="336"/>
      <c r="N7" s="157" t="s">
        <v>500</v>
      </c>
      <c r="O7" s="155"/>
      <c r="P7" s="340" t="s">
        <v>661</v>
      </c>
      <c r="Q7" s="503"/>
      <c r="R7" s="135" t="s">
        <v>486</v>
      </c>
      <c r="S7" s="135" t="s">
        <v>485</v>
      </c>
      <c r="T7" s="135" t="s">
        <v>491</v>
      </c>
      <c r="U7" s="135" t="s">
        <v>487</v>
      </c>
      <c r="V7" s="336" t="s">
        <v>662</v>
      </c>
      <c r="W7" s="337"/>
      <c r="X7" s="106"/>
      <c r="Y7" s="126"/>
      <c r="Z7" s="126"/>
    </row>
    <row r="8" spans="1:28" ht="14.45" customHeight="1">
      <c r="A8" s="336"/>
      <c r="B8" s="336"/>
      <c r="C8" s="336"/>
      <c r="D8" s="337"/>
      <c r="E8" s="373"/>
      <c r="F8" s="373"/>
      <c r="G8" s="373"/>
      <c r="H8" s="336"/>
      <c r="I8" s="336"/>
      <c r="J8" s="360"/>
      <c r="K8" s="375"/>
      <c r="L8" s="375"/>
      <c r="M8" s="361"/>
      <c r="N8" s="132"/>
      <c r="O8" s="158"/>
      <c r="P8" s="361" t="s">
        <v>519</v>
      </c>
      <c r="Q8" s="336"/>
      <c r="R8" s="336" t="s">
        <v>663</v>
      </c>
      <c r="S8" s="337"/>
      <c r="T8" s="336" t="s">
        <v>655</v>
      </c>
      <c r="U8" s="337"/>
      <c r="V8" s="159"/>
      <c r="W8" s="159"/>
    </row>
    <row r="9" spans="1:28" ht="14.45" customHeight="1">
      <c r="A9" s="336" t="s">
        <v>515</v>
      </c>
      <c r="B9" s="336"/>
      <c r="C9" s="361" t="s">
        <v>496</v>
      </c>
      <c r="D9" s="336"/>
      <c r="E9" s="336" t="s">
        <v>497</v>
      </c>
      <c r="F9" s="336"/>
      <c r="G9" s="336"/>
      <c r="H9" s="336"/>
      <c r="I9" s="336"/>
      <c r="J9" s="360" t="s">
        <v>516</v>
      </c>
      <c r="K9" s="375"/>
      <c r="L9" s="375"/>
      <c r="M9" s="361"/>
      <c r="N9" s="109" t="s">
        <v>517</v>
      </c>
      <c r="O9" s="109" t="s">
        <v>518</v>
      </c>
      <c r="P9" s="361" t="s">
        <v>664</v>
      </c>
      <c r="Q9" s="336"/>
      <c r="R9" s="109" t="s">
        <v>665</v>
      </c>
      <c r="S9" s="109" t="s">
        <v>666</v>
      </c>
      <c r="T9" s="109" t="s">
        <v>667</v>
      </c>
      <c r="U9" s="109" t="s">
        <v>668</v>
      </c>
      <c r="V9" s="109" t="s">
        <v>669</v>
      </c>
    </row>
    <row r="10" spans="1:28" ht="14.45" customHeight="1">
      <c r="A10" s="491"/>
      <c r="B10" s="381"/>
      <c r="C10" s="336"/>
      <c r="D10" s="336"/>
      <c r="E10" s="360"/>
      <c r="F10" s="358"/>
      <c r="G10" s="359"/>
      <c r="H10" s="484"/>
      <c r="I10" s="486"/>
      <c r="J10" s="360"/>
      <c r="K10" s="375"/>
      <c r="L10" s="375"/>
      <c r="M10" s="361"/>
      <c r="N10" s="132"/>
      <c r="O10" s="158"/>
      <c r="P10" s="361" t="s">
        <v>525</v>
      </c>
      <c r="Q10" s="336"/>
      <c r="R10" s="109" t="s">
        <v>670</v>
      </c>
      <c r="S10" s="110" t="s">
        <v>527</v>
      </c>
      <c r="T10" s="109" t="s">
        <v>671</v>
      </c>
      <c r="V10" s="135"/>
    </row>
    <row r="11" spans="1:28" ht="14.45" customHeight="1">
      <c r="A11" s="336" t="s">
        <v>530</v>
      </c>
      <c r="B11" s="336"/>
      <c r="C11" s="360" t="s">
        <v>531</v>
      </c>
      <c r="D11" s="361"/>
      <c r="E11" s="336" t="s">
        <v>497</v>
      </c>
      <c r="F11" s="336"/>
      <c r="G11" s="336"/>
      <c r="H11" s="336" t="s">
        <v>532</v>
      </c>
      <c r="I11" s="336"/>
      <c r="J11" s="333"/>
      <c r="K11" s="334"/>
      <c r="L11" s="334"/>
      <c r="M11" s="335"/>
      <c r="N11" s="133"/>
      <c r="O11" s="160"/>
      <c r="P11" s="361" t="s">
        <v>507</v>
      </c>
      <c r="Q11" s="336"/>
      <c r="R11" s="360" t="s">
        <v>539</v>
      </c>
      <c r="S11" s="361"/>
      <c r="T11" s="109" t="s">
        <v>672</v>
      </c>
      <c r="U11" s="109" t="s">
        <v>673</v>
      </c>
      <c r="V11" s="360" t="s">
        <v>674</v>
      </c>
      <c r="W11" s="375"/>
      <c r="X11" s="336" t="s">
        <v>675</v>
      </c>
      <c r="Y11" s="331"/>
      <c r="Z11" s="373" t="s">
        <v>676</v>
      </c>
      <c r="AA11" s="373"/>
      <c r="AB11" s="373"/>
    </row>
    <row r="12" spans="1:28" ht="14.45" customHeight="1">
      <c r="A12" s="336"/>
      <c r="B12" s="336"/>
      <c r="C12" s="331"/>
      <c r="D12" s="342"/>
      <c r="E12" s="331"/>
      <c r="F12" s="331"/>
      <c r="G12" s="331"/>
      <c r="H12" s="484"/>
      <c r="I12" s="486"/>
      <c r="J12" s="360"/>
      <c r="K12" s="375"/>
      <c r="L12" s="375"/>
      <c r="M12" s="361"/>
      <c r="N12" s="109" t="s">
        <v>537</v>
      </c>
      <c r="O12" s="109" t="s">
        <v>538</v>
      </c>
      <c r="P12" s="361" t="s">
        <v>677</v>
      </c>
      <c r="Q12" s="336"/>
      <c r="R12" s="109" t="s">
        <v>476</v>
      </c>
      <c r="S12" s="109" t="s">
        <v>490</v>
      </c>
      <c r="T12" s="375" t="s">
        <v>509</v>
      </c>
      <c r="U12" s="361"/>
      <c r="V12" s="360" t="s">
        <v>678</v>
      </c>
      <c r="W12" s="361"/>
    </row>
    <row r="13" spans="1:28" ht="14.45" customHeight="1">
      <c r="A13" s="360" t="s">
        <v>542</v>
      </c>
      <c r="B13" s="361"/>
      <c r="C13" s="336" t="s">
        <v>543</v>
      </c>
      <c r="D13" s="336"/>
      <c r="E13" s="109" t="s">
        <v>544</v>
      </c>
      <c r="F13" s="109" t="s">
        <v>545</v>
      </c>
      <c r="G13" s="360" t="s">
        <v>546</v>
      </c>
      <c r="H13" s="361"/>
      <c r="I13" s="109" t="s">
        <v>547</v>
      </c>
      <c r="J13" s="109" t="s">
        <v>548</v>
      </c>
      <c r="K13" s="115" t="s">
        <v>549</v>
      </c>
      <c r="L13" s="161" t="s">
        <v>550</v>
      </c>
      <c r="M13" s="155" t="s">
        <v>551</v>
      </c>
      <c r="N13" s="162"/>
      <c r="O13" s="109"/>
      <c r="P13" s="361" t="s">
        <v>679</v>
      </c>
      <c r="Q13" s="336"/>
      <c r="R13" s="108" t="s">
        <v>476</v>
      </c>
      <c r="V13" s="336" t="s">
        <v>680</v>
      </c>
      <c r="W13" s="336"/>
    </row>
    <row r="14" spans="1:28" ht="14.45" customHeight="1">
      <c r="A14" s="336"/>
      <c r="B14" s="336"/>
      <c r="C14" s="336"/>
      <c r="D14" s="336"/>
      <c r="E14" s="18"/>
      <c r="F14" s="18"/>
      <c r="G14" s="331"/>
      <c r="H14" s="342"/>
      <c r="I14" s="109"/>
      <c r="J14" s="109"/>
      <c r="K14" s="117"/>
      <c r="L14" s="161"/>
      <c r="M14" s="114"/>
      <c r="N14" s="152"/>
      <c r="O14" s="158"/>
      <c r="P14" s="361" t="s">
        <v>556</v>
      </c>
      <c r="Q14" s="336"/>
      <c r="R14" s="109" t="s">
        <v>553</v>
      </c>
      <c r="S14" s="109" t="s">
        <v>557</v>
      </c>
      <c r="T14" s="109" t="s">
        <v>558</v>
      </c>
      <c r="U14" s="109" t="s">
        <v>535</v>
      </c>
    </row>
    <row r="15" spans="1:28" ht="14.45" customHeight="1">
      <c r="A15" s="336"/>
      <c r="B15" s="336"/>
      <c r="C15" s="336"/>
      <c r="D15" s="336"/>
      <c r="E15" s="18"/>
      <c r="F15" s="18"/>
      <c r="G15" s="331"/>
      <c r="H15" s="342"/>
      <c r="I15" s="109"/>
      <c r="J15" s="109"/>
      <c r="K15" s="117"/>
      <c r="L15" s="155"/>
      <c r="M15" s="109"/>
      <c r="N15" s="152"/>
      <c r="O15" s="158"/>
    </row>
    <row r="16" spans="1:28" ht="12.75" customHeight="1">
      <c r="A16" s="144"/>
      <c r="O16" s="153"/>
    </row>
    <row r="17" spans="1:27" ht="14.45" customHeight="1">
      <c r="A17" s="337" t="s">
        <v>565</v>
      </c>
      <c r="B17" s="337"/>
      <c r="C17" s="337"/>
      <c r="D17" s="337"/>
      <c r="E17" s="337"/>
      <c r="F17" s="337"/>
      <c r="G17" s="337"/>
      <c r="H17" s="337"/>
      <c r="I17" s="163"/>
      <c r="J17" s="508"/>
      <c r="K17" s="342"/>
      <c r="L17" s="336" t="s">
        <v>566</v>
      </c>
      <c r="M17" s="336"/>
      <c r="N17" s="109" t="s">
        <v>545</v>
      </c>
      <c r="O17" s="155" t="s">
        <v>567</v>
      </c>
      <c r="P17" s="507" t="s">
        <v>681</v>
      </c>
      <c r="Q17" s="504"/>
      <c r="R17" s="504" t="s">
        <v>682</v>
      </c>
      <c r="S17" s="504"/>
      <c r="T17" s="504" t="s">
        <v>683</v>
      </c>
      <c r="U17" s="504"/>
      <c r="V17" s="504" t="s">
        <v>684</v>
      </c>
      <c r="W17" s="504"/>
      <c r="X17" s="504" t="s">
        <v>685</v>
      </c>
      <c r="Y17" s="504"/>
      <c r="Z17" s="504" t="s">
        <v>686</v>
      </c>
      <c r="AA17" s="504"/>
    </row>
    <row r="18" spans="1:27" ht="14.45" customHeight="1">
      <c r="A18" s="505"/>
      <c r="B18" s="505"/>
      <c r="C18" s="505"/>
      <c r="D18" s="505"/>
      <c r="E18" s="505"/>
      <c r="F18" s="505"/>
      <c r="G18" s="505"/>
      <c r="H18" s="505"/>
      <c r="I18" s="164"/>
      <c r="J18" s="506" t="str">
        <f>(修理１!B22)&amp;""</f>
        <v/>
      </c>
      <c r="K18" s="506"/>
      <c r="L18" s="504" t="str">
        <f>(修理１!D22)&amp;""</f>
        <v/>
      </c>
      <c r="M18" s="504"/>
      <c r="N18" s="165"/>
      <c r="O18" s="155"/>
      <c r="P18" s="507" t="s">
        <v>687</v>
      </c>
      <c r="Q18" s="504"/>
      <c r="R18" s="504" t="s">
        <v>688</v>
      </c>
      <c r="S18" s="504"/>
      <c r="T18" s="504" t="s">
        <v>689</v>
      </c>
      <c r="U18" s="504"/>
      <c r="V18" s="504" t="s">
        <v>690</v>
      </c>
      <c r="W18" s="504"/>
      <c r="X18" s="504" t="s">
        <v>691</v>
      </c>
      <c r="Y18" s="504"/>
      <c r="Z18" s="504" t="s">
        <v>692</v>
      </c>
      <c r="AA18" s="504"/>
    </row>
    <row r="19" spans="1:27" ht="14.45" customHeight="1">
      <c r="A19" s="505"/>
      <c r="B19" s="505"/>
      <c r="C19" s="505"/>
      <c r="D19" s="505"/>
      <c r="E19" s="505"/>
      <c r="F19" s="505"/>
      <c r="G19" s="505"/>
      <c r="H19" s="505"/>
      <c r="I19" s="164"/>
      <c r="J19" s="506" t="str">
        <f>(修理１!B23)&amp;""</f>
        <v/>
      </c>
      <c r="K19" s="506"/>
      <c r="L19" s="504" t="str">
        <f>(修理１!D23)&amp;""</f>
        <v/>
      </c>
      <c r="M19" s="504"/>
      <c r="N19" s="165"/>
      <c r="O19" s="155"/>
      <c r="P19" s="507" t="s">
        <v>693</v>
      </c>
      <c r="Q19" s="504"/>
      <c r="R19" s="504" t="s">
        <v>694</v>
      </c>
      <c r="S19" s="504"/>
      <c r="T19" s="504" t="s">
        <v>695</v>
      </c>
      <c r="U19" s="504"/>
      <c r="V19" s="504" t="s">
        <v>696</v>
      </c>
      <c r="W19" s="504"/>
      <c r="X19" s="504" t="s">
        <v>697</v>
      </c>
      <c r="Y19" s="504"/>
      <c r="Z19" s="504" t="s">
        <v>698</v>
      </c>
      <c r="AA19" s="504"/>
    </row>
    <row r="20" spans="1:27" ht="14.45" customHeight="1">
      <c r="A20" s="505"/>
      <c r="B20" s="505"/>
      <c r="C20" s="505"/>
      <c r="D20" s="505"/>
      <c r="E20" s="505"/>
      <c r="F20" s="505"/>
      <c r="G20" s="505"/>
      <c r="H20" s="505"/>
      <c r="I20" s="164"/>
      <c r="J20" s="506" t="str">
        <f>(修理１!B24)&amp;""</f>
        <v/>
      </c>
      <c r="K20" s="506"/>
      <c r="L20" s="504" t="str">
        <f>(修理１!D24)&amp;""</f>
        <v/>
      </c>
      <c r="M20" s="504"/>
      <c r="N20" s="165"/>
      <c r="O20" s="155"/>
      <c r="P20" s="507" t="s">
        <v>699</v>
      </c>
      <c r="Q20" s="504"/>
      <c r="R20" s="504" t="s">
        <v>700</v>
      </c>
      <c r="S20" s="504"/>
      <c r="T20" s="504" t="s">
        <v>701</v>
      </c>
      <c r="U20" s="504"/>
      <c r="V20" s="504" t="s">
        <v>702</v>
      </c>
      <c r="W20" s="504"/>
      <c r="X20" s="504" t="s">
        <v>703</v>
      </c>
      <c r="Y20" s="504"/>
      <c r="Z20" s="504" t="s">
        <v>704</v>
      </c>
      <c r="AA20" s="504"/>
    </row>
    <row r="21" spans="1:27" ht="14.45" customHeight="1">
      <c r="A21" s="505"/>
      <c r="B21" s="505"/>
      <c r="C21" s="505"/>
      <c r="D21" s="505"/>
      <c r="E21" s="505"/>
      <c r="F21" s="505"/>
      <c r="G21" s="505"/>
      <c r="H21" s="505"/>
      <c r="I21" s="164"/>
      <c r="J21" s="506" t="str">
        <f>(修理１!B25)&amp;""</f>
        <v/>
      </c>
      <c r="K21" s="506"/>
      <c r="L21" s="504" t="str">
        <f>(修理１!D25)&amp;""</f>
        <v/>
      </c>
      <c r="M21" s="504"/>
      <c r="N21" s="165"/>
      <c r="O21" s="155"/>
      <c r="P21" s="507" t="s">
        <v>705</v>
      </c>
      <c r="Q21" s="504"/>
      <c r="R21" s="504" t="s">
        <v>706</v>
      </c>
      <c r="S21" s="504"/>
      <c r="T21" s="504" t="s">
        <v>707</v>
      </c>
      <c r="U21" s="504"/>
      <c r="V21" s="504" t="s">
        <v>708</v>
      </c>
      <c r="W21" s="504"/>
      <c r="X21" s="504" t="s">
        <v>709</v>
      </c>
      <c r="Y21" s="504"/>
      <c r="Z21" s="504" t="s">
        <v>710</v>
      </c>
      <c r="AA21" s="504"/>
    </row>
    <row r="22" spans="1:27" ht="14.45" customHeight="1">
      <c r="A22" s="505"/>
      <c r="B22" s="505"/>
      <c r="C22" s="505"/>
      <c r="D22" s="505"/>
      <c r="E22" s="505"/>
      <c r="F22" s="505"/>
      <c r="G22" s="505"/>
      <c r="H22" s="505"/>
      <c r="I22" s="164"/>
      <c r="J22" s="506" t="str">
        <f>(修理１!B26)&amp;""</f>
        <v/>
      </c>
      <c r="K22" s="506"/>
      <c r="L22" s="504" t="str">
        <f>(修理１!D26)&amp;""</f>
        <v/>
      </c>
      <c r="M22" s="504"/>
      <c r="N22" s="165"/>
      <c r="O22" s="155"/>
      <c r="P22" s="507" t="s">
        <v>711</v>
      </c>
      <c r="Q22" s="504"/>
      <c r="R22" s="504" t="s">
        <v>712</v>
      </c>
      <c r="S22" s="504"/>
      <c r="T22" s="504" t="s">
        <v>713</v>
      </c>
      <c r="U22" s="504"/>
      <c r="V22" s="504" t="s">
        <v>714</v>
      </c>
      <c r="W22" s="504"/>
      <c r="X22" s="504" t="s">
        <v>715</v>
      </c>
      <c r="Y22" s="504"/>
      <c r="Z22" s="504" t="s">
        <v>716</v>
      </c>
      <c r="AA22" s="504"/>
    </row>
    <row r="23" spans="1:27" ht="14.45" customHeight="1">
      <c r="A23" s="505"/>
      <c r="B23" s="505"/>
      <c r="C23" s="505"/>
      <c r="D23" s="505"/>
      <c r="E23" s="505"/>
      <c r="F23" s="505"/>
      <c r="G23" s="505"/>
      <c r="H23" s="505"/>
      <c r="I23" s="164"/>
      <c r="J23" s="506" t="str">
        <f>(修理１!B27)&amp;""</f>
        <v/>
      </c>
      <c r="K23" s="506"/>
      <c r="L23" s="504" t="str">
        <f>(修理１!D27)&amp;""</f>
        <v/>
      </c>
      <c r="M23" s="504"/>
      <c r="N23" s="165"/>
      <c r="O23" s="155"/>
      <c r="P23" s="507" t="s">
        <v>717</v>
      </c>
      <c r="Q23" s="504"/>
      <c r="R23" s="504" t="s">
        <v>718</v>
      </c>
      <c r="S23" s="504"/>
      <c r="T23" s="504" t="s">
        <v>719</v>
      </c>
      <c r="U23" s="504"/>
      <c r="V23" s="504" t="s">
        <v>720</v>
      </c>
      <c r="W23" s="504"/>
      <c r="X23" s="504" t="s">
        <v>580</v>
      </c>
      <c r="Y23" s="507"/>
      <c r="Z23" s="509"/>
      <c r="AA23" s="507"/>
    </row>
    <row r="24" spans="1:27" ht="14.45" customHeight="1">
      <c r="A24" s="505"/>
      <c r="B24" s="505"/>
      <c r="C24" s="505"/>
      <c r="D24" s="505"/>
      <c r="E24" s="505"/>
      <c r="F24" s="505"/>
      <c r="G24" s="505"/>
      <c r="H24" s="505"/>
      <c r="I24" s="164"/>
      <c r="J24" s="506" t="str">
        <f>(修理１!B28)&amp;""</f>
        <v/>
      </c>
      <c r="K24" s="506"/>
      <c r="L24" s="504" t="str">
        <f>(修理１!D28)&amp;""</f>
        <v/>
      </c>
      <c r="M24" s="504"/>
      <c r="N24" s="165"/>
      <c r="O24" s="155"/>
      <c r="P24" s="507" t="s">
        <v>721</v>
      </c>
      <c r="Q24" s="504"/>
      <c r="R24" s="504" t="s">
        <v>722</v>
      </c>
      <c r="S24" s="504"/>
      <c r="T24" s="504" t="s">
        <v>723</v>
      </c>
      <c r="U24" s="504"/>
      <c r="V24" s="504" t="s">
        <v>724</v>
      </c>
      <c r="W24" s="507"/>
      <c r="X24" s="504" t="s">
        <v>725</v>
      </c>
      <c r="Y24" s="504"/>
      <c r="Z24" s="504" t="s">
        <v>726</v>
      </c>
      <c r="AA24" s="504"/>
    </row>
    <row r="25" spans="1:27" ht="14.45" customHeight="1">
      <c r="A25" s="505"/>
      <c r="B25" s="505"/>
      <c r="C25" s="505"/>
      <c r="D25" s="505"/>
      <c r="E25" s="505"/>
      <c r="F25" s="505"/>
      <c r="G25" s="505"/>
      <c r="H25" s="505"/>
      <c r="I25" s="164"/>
      <c r="J25" s="506" t="str">
        <f>(修理１!B29)&amp;""</f>
        <v/>
      </c>
      <c r="K25" s="506"/>
      <c r="L25" s="504" t="str">
        <f>(修理１!D29)&amp;""</f>
        <v/>
      </c>
      <c r="M25" s="504"/>
      <c r="N25" s="165"/>
      <c r="O25" s="155"/>
      <c r="P25" s="507" t="s">
        <v>727</v>
      </c>
      <c r="Q25" s="504"/>
      <c r="R25" s="504" t="s">
        <v>728</v>
      </c>
      <c r="S25" s="504"/>
      <c r="T25" s="504" t="s">
        <v>729</v>
      </c>
      <c r="U25" s="504"/>
      <c r="V25" s="504" t="s">
        <v>730</v>
      </c>
      <c r="W25" s="504"/>
      <c r="X25" s="504" t="s">
        <v>731</v>
      </c>
      <c r="Y25" s="504"/>
      <c r="Z25" s="504" t="s">
        <v>732</v>
      </c>
      <c r="AA25" s="504"/>
    </row>
    <row r="26" spans="1:27" ht="14.45" customHeight="1">
      <c r="A26" s="505" t="s">
        <v>733</v>
      </c>
      <c r="B26" s="505"/>
      <c r="C26" s="505"/>
      <c r="D26" s="505"/>
      <c r="E26" s="505"/>
      <c r="F26" s="505"/>
      <c r="G26" s="505"/>
      <c r="H26" s="505"/>
      <c r="I26" s="164"/>
      <c r="J26" s="506" t="str">
        <f>(修理１!B30)&amp;""</f>
        <v/>
      </c>
      <c r="K26" s="506"/>
      <c r="L26" s="504" t="str">
        <f>(修理１!D30)&amp;""</f>
        <v/>
      </c>
      <c r="M26" s="504"/>
      <c r="N26" s="165"/>
      <c r="O26" s="155"/>
      <c r="P26" s="507" t="s">
        <v>734</v>
      </c>
      <c r="Q26" s="504"/>
      <c r="R26" s="504" t="s">
        <v>735</v>
      </c>
      <c r="S26" s="504"/>
      <c r="T26" s="504" t="s">
        <v>736</v>
      </c>
      <c r="U26" s="504"/>
      <c r="V26" s="504" t="s">
        <v>737</v>
      </c>
      <c r="W26" s="504"/>
      <c r="X26" s="504" t="s">
        <v>738</v>
      </c>
      <c r="Y26" s="504"/>
      <c r="Z26" s="504" t="s">
        <v>739</v>
      </c>
      <c r="AA26" s="504"/>
    </row>
    <row r="27" spans="1:27" ht="14.45" customHeight="1">
      <c r="A27" s="510"/>
      <c r="B27" s="510"/>
      <c r="C27" s="505"/>
      <c r="D27" s="505"/>
      <c r="E27" s="505"/>
      <c r="F27" s="505"/>
      <c r="G27" s="505"/>
      <c r="H27" s="505"/>
      <c r="I27" s="164"/>
      <c r="J27" s="506" t="str">
        <f>(修理１!B31)&amp;""</f>
        <v/>
      </c>
      <c r="K27" s="506"/>
      <c r="L27" s="504" t="str">
        <f>(修理１!D31)&amp;""</f>
        <v/>
      </c>
      <c r="M27" s="504"/>
      <c r="N27" s="165"/>
      <c r="O27" s="155"/>
      <c r="P27" s="507" t="s">
        <v>740</v>
      </c>
      <c r="Q27" s="504"/>
      <c r="R27" s="504" t="s">
        <v>741</v>
      </c>
      <c r="S27" s="504"/>
      <c r="T27" s="504" t="s">
        <v>742</v>
      </c>
      <c r="U27" s="504"/>
      <c r="V27" s="504" t="s">
        <v>743</v>
      </c>
      <c r="W27" s="504"/>
      <c r="X27" s="504" t="s">
        <v>744</v>
      </c>
      <c r="Y27" s="504"/>
      <c r="Z27" s="504" t="s">
        <v>745</v>
      </c>
      <c r="AA27" s="504"/>
    </row>
    <row r="28" spans="1:27" ht="14.45" customHeight="1">
      <c r="A28" s="510"/>
      <c r="B28" s="510"/>
      <c r="C28" s="505"/>
      <c r="D28" s="505"/>
      <c r="E28" s="505"/>
      <c r="F28" s="505"/>
      <c r="G28" s="505"/>
      <c r="H28" s="505"/>
      <c r="I28" s="164"/>
      <c r="J28" s="506" t="str">
        <f>(修理１!B32)&amp;""</f>
        <v/>
      </c>
      <c r="K28" s="506"/>
      <c r="L28" s="504" t="str">
        <f>(修理１!D32)&amp;""</f>
        <v/>
      </c>
      <c r="M28" s="504"/>
      <c r="N28" s="165"/>
      <c r="O28" s="155"/>
      <c r="P28" s="507" t="s">
        <v>746</v>
      </c>
      <c r="Q28" s="504"/>
      <c r="R28" s="504" t="s">
        <v>747</v>
      </c>
      <c r="S28" s="504"/>
      <c r="T28" s="504" t="s">
        <v>748</v>
      </c>
      <c r="U28" s="504"/>
      <c r="V28" s="504" t="s">
        <v>745</v>
      </c>
      <c r="W28" s="504"/>
      <c r="X28" s="504" t="s">
        <v>749</v>
      </c>
      <c r="Y28" s="504"/>
      <c r="Z28" s="504" t="s">
        <v>724</v>
      </c>
      <c r="AA28" s="504"/>
    </row>
    <row r="29" spans="1:27" ht="14.45" customHeight="1">
      <c r="A29" s="510"/>
      <c r="B29" s="510"/>
      <c r="C29" s="505"/>
      <c r="D29" s="505"/>
      <c r="E29" s="505"/>
      <c r="F29" s="505"/>
      <c r="G29" s="505"/>
      <c r="H29" s="505"/>
      <c r="I29" s="164"/>
      <c r="J29" s="506" t="str">
        <f>(修理１!B33)&amp;""</f>
        <v/>
      </c>
      <c r="K29" s="506"/>
      <c r="L29" s="504" t="str">
        <f>(修理１!D33)&amp;""</f>
        <v/>
      </c>
      <c r="M29" s="504"/>
      <c r="N29" s="165"/>
      <c r="O29" s="155"/>
      <c r="P29" s="507" t="s">
        <v>750</v>
      </c>
      <c r="Q29" s="504"/>
      <c r="R29" s="504" t="s">
        <v>751</v>
      </c>
      <c r="S29" s="504"/>
      <c r="T29" s="504" t="s">
        <v>723</v>
      </c>
      <c r="U29" s="504"/>
      <c r="V29" s="504" t="s">
        <v>724</v>
      </c>
      <c r="W29" s="504"/>
      <c r="X29" s="504"/>
      <c r="Y29" s="504"/>
      <c r="Z29" s="504"/>
      <c r="AA29" s="504"/>
    </row>
    <row r="30" spans="1:27" ht="14.45" customHeight="1">
      <c r="A30" s="510"/>
      <c r="B30" s="510"/>
      <c r="C30" s="505"/>
      <c r="D30" s="505"/>
      <c r="E30" s="505"/>
      <c r="F30" s="505"/>
      <c r="G30" s="505"/>
      <c r="H30" s="505"/>
      <c r="I30" s="164"/>
      <c r="J30" s="506" t="str">
        <f>(修理１!B34)&amp;""</f>
        <v/>
      </c>
      <c r="K30" s="506"/>
      <c r="L30" s="504" t="str">
        <f>(修理１!D34)&amp;""</f>
        <v/>
      </c>
      <c r="M30" s="504"/>
      <c r="N30" s="165"/>
      <c r="O30" s="155"/>
      <c r="P30" s="507" t="s">
        <v>752</v>
      </c>
      <c r="Q30" s="504"/>
      <c r="R30" s="504" t="s">
        <v>753</v>
      </c>
      <c r="S30" s="504"/>
      <c r="T30" s="504" t="s">
        <v>754</v>
      </c>
      <c r="U30" s="504"/>
      <c r="V30" s="504" t="s">
        <v>724</v>
      </c>
      <c r="W30" s="504"/>
      <c r="X30" s="504" t="s">
        <v>580</v>
      </c>
      <c r="Y30" s="504"/>
      <c r="Z30" s="504"/>
      <c r="AA30" s="504"/>
    </row>
    <row r="31" spans="1:27" ht="14.45" customHeight="1">
      <c r="A31" s="510"/>
      <c r="B31" s="510"/>
      <c r="C31" s="505"/>
      <c r="D31" s="505"/>
      <c r="E31" s="505"/>
      <c r="F31" s="505"/>
      <c r="G31" s="505"/>
      <c r="H31" s="505"/>
      <c r="I31" s="164"/>
      <c r="J31" s="506" t="str">
        <f>(修理１!B35)&amp;""</f>
        <v/>
      </c>
      <c r="K31" s="506"/>
      <c r="L31" s="504" t="str">
        <f>(修理１!D35)&amp;""</f>
        <v/>
      </c>
      <c r="M31" s="504"/>
      <c r="N31" s="165"/>
      <c r="O31" s="155"/>
      <c r="P31" s="507" t="s">
        <v>755</v>
      </c>
      <c r="Q31" s="504"/>
      <c r="R31" s="504" t="s">
        <v>756</v>
      </c>
      <c r="S31" s="504"/>
      <c r="T31" s="504" t="s">
        <v>757</v>
      </c>
      <c r="U31" s="504"/>
      <c r="V31" s="504" t="s">
        <v>758</v>
      </c>
      <c r="W31" s="504"/>
      <c r="X31" s="511" t="s">
        <v>759</v>
      </c>
      <c r="Y31" s="512"/>
      <c r="Z31" s="511" t="s">
        <v>760</v>
      </c>
      <c r="AA31" s="512"/>
    </row>
    <row r="32" spans="1:27" ht="14.45" customHeight="1">
      <c r="A32" s="510"/>
      <c r="B32" s="510"/>
      <c r="C32" s="505"/>
      <c r="D32" s="505"/>
      <c r="E32" s="505"/>
      <c r="F32" s="505"/>
      <c r="G32" s="505"/>
      <c r="H32" s="505"/>
      <c r="I32" s="164"/>
      <c r="J32" s="506" t="str">
        <f>(修理１!B36)&amp;""</f>
        <v/>
      </c>
      <c r="K32" s="506"/>
      <c r="L32" s="504" t="str">
        <f>(修理１!D36)&amp;""</f>
        <v/>
      </c>
      <c r="M32" s="504"/>
      <c r="N32" s="165"/>
      <c r="O32" s="155"/>
      <c r="P32" s="507" t="s">
        <v>761</v>
      </c>
      <c r="Q32" s="504"/>
      <c r="R32" s="504" t="s">
        <v>762</v>
      </c>
      <c r="S32" s="504"/>
      <c r="T32" s="504" t="s">
        <v>763</v>
      </c>
      <c r="U32" s="504"/>
      <c r="V32" s="504" t="s">
        <v>764</v>
      </c>
      <c r="W32" s="504"/>
      <c r="X32" s="504" t="s">
        <v>765</v>
      </c>
      <c r="Y32" s="504"/>
      <c r="Z32" s="504" t="s">
        <v>766</v>
      </c>
      <c r="AA32" s="504"/>
    </row>
    <row r="33" spans="1:27" ht="14.45" customHeight="1">
      <c r="A33" s="510"/>
      <c r="B33" s="510"/>
      <c r="C33" s="505"/>
      <c r="D33" s="505"/>
      <c r="E33" s="505"/>
      <c r="F33" s="505"/>
      <c r="G33" s="505"/>
      <c r="H33" s="505"/>
      <c r="I33" s="164"/>
      <c r="J33" s="506" t="str">
        <f>(修理１!B37)&amp;""</f>
        <v/>
      </c>
      <c r="K33" s="506"/>
      <c r="L33" s="504" t="str">
        <f>(修理１!D37)&amp;""</f>
        <v/>
      </c>
      <c r="M33" s="504"/>
      <c r="N33" s="165"/>
      <c r="O33" s="155"/>
      <c r="P33" s="507" t="s">
        <v>767</v>
      </c>
      <c r="Q33" s="504"/>
      <c r="R33" s="504" t="s">
        <v>762</v>
      </c>
      <c r="S33" s="504"/>
      <c r="T33" s="504" t="s">
        <v>768</v>
      </c>
      <c r="U33" s="504"/>
      <c r="V33" s="504" t="s">
        <v>769</v>
      </c>
      <c r="W33" s="504"/>
      <c r="X33" s="504" t="s">
        <v>770</v>
      </c>
      <c r="Y33" s="504"/>
      <c r="Z33" s="504" t="s">
        <v>771</v>
      </c>
      <c r="AA33" s="504"/>
    </row>
    <row r="34" spans="1:27" ht="14.45" customHeight="1">
      <c r="A34" s="510"/>
      <c r="B34" s="510"/>
      <c r="C34" s="505"/>
      <c r="D34" s="505"/>
      <c r="E34" s="505"/>
      <c r="F34" s="505"/>
      <c r="G34" s="505"/>
      <c r="H34" s="505"/>
      <c r="I34" s="164"/>
      <c r="J34" s="506" t="str">
        <f>(修理１!B38)&amp;""</f>
        <v/>
      </c>
      <c r="K34" s="506"/>
      <c r="L34" s="504" t="str">
        <f>(修理１!D38)&amp;""</f>
        <v/>
      </c>
      <c r="M34" s="504"/>
      <c r="N34" s="165"/>
      <c r="O34" s="155"/>
      <c r="P34" s="507" t="s">
        <v>772</v>
      </c>
      <c r="Q34" s="504"/>
      <c r="R34" s="504" t="s">
        <v>762</v>
      </c>
      <c r="S34" s="504"/>
      <c r="T34" s="504" t="s">
        <v>773</v>
      </c>
      <c r="U34" s="504"/>
      <c r="V34" s="504" t="s">
        <v>774</v>
      </c>
      <c r="W34" s="504"/>
      <c r="X34" s="504" t="s">
        <v>775</v>
      </c>
      <c r="Y34" s="504"/>
      <c r="Z34" s="504" t="s">
        <v>776</v>
      </c>
      <c r="AA34" s="504"/>
    </row>
    <row r="35" spans="1:27" ht="14.45" customHeight="1">
      <c r="A35" s="510"/>
      <c r="B35" s="510"/>
      <c r="C35" s="505"/>
      <c r="D35" s="505"/>
      <c r="E35" s="505"/>
      <c r="F35" s="505"/>
      <c r="G35" s="505"/>
      <c r="H35" s="505"/>
      <c r="I35" s="166"/>
      <c r="J35" s="506" t="str">
        <f>(修理１!B39)&amp;""</f>
        <v/>
      </c>
      <c r="K35" s="506"/>
      <c r="L35" s="504" t="str">
        <f>(修理１!D39)&amp;""</f>
        <v/>
      </c>
      <c r="M35" s="504"/>
      <c r="N35" s="165"/>
      <c r="O35" s="155"/>
      <c r="P35" s="507" t="s">
        <v>777</v>
      </c>
      <c r="Q35" s="504"/>
      <c r="R35" s="504" t="s">
        <v>762</v>
      </c>
      <c r="S35" s="504"/>
      <c r="T35" s="504" t="s">
        <v>580</v>
      </c>
      <c r="U35" s="504"/>
      <c r="V35" s="504" t="s">
        <v>778</v>
      </c>
      <c r="W35" s="504"/>
      <c r="X35" s="504" t="s">
        <v>779</v>
      </c>
      <c r="Y35" s="504"/>
      <c r="Z35" s="504" t="s">
        <v>780</v>
      </c>
      <c r="AA35" s="504"/>
    </row>
    <row r="36" spans="1:27" ht="14.45" customHeight="1">
      <c r="A36" s="510"/>
      <c r="B36" s="510"/>
      <c r="C36" s="505"/>
      <c r="D36" s="505"/>
      <c r="E36" s="505"/>
      <c r="F36" s="505"/>
      <c r="G36" s="505"/>
      <c r="H36" s="505"/>
      <c r="I36" s="167"/>
      <c r="J36" s="506" t="str">
        <f>(修理１!B40)&amp;""</f>
        <v/>
      </c>
      <c r="K36" s="506"/>
      <c r="L36" s="504" t="str">
        <f>(修理１!D40)&amp;""</f>
        <v/>
      </c>
      <c r="M36" s="504"/>
      <c r="N36" s="165"/>
      <c r="O36" s="155"/>
      <c r="P36" s="507" t="s">
        <v>781</v>
      </c>
      <c r="Q36" s="504"/>
      <c r="R36" s="504" t="s">
        <v>782</v>
      </c>
      <c r="S36" s="504"/>
      <c r="T36" s="504" t="s">
        <v>783</v>
      </c>
      <c r="U36" s="504"/>
      <c r="V36" s="504" t="s">
        <v>758</v>
      </c>
      <c r="W36" s="504"/>
      <c r="X36" s="504" t="s">
        <v>784</v>
      </c>
      <c r="Y36" s="504"/>
      <c r="Z36" s="504" t="s">
        <v>785</v>
      </c>
      <c r="AA36" s="504"/>
    </row>
    <row r="37" spans="1:27" ht="14.45" customHeight="1">
      <c r="A37" s="513"/>
      <c r="B37" s="513"/>
      <c r="C37" s="513"/>
      <c r="D37" s="513"/>
      <c r="E37" s="513"/>
      <c r="F37" s="513"/>
      <c r="G37" s="513"/>
      <c r="H37" s="513"/>
      <c r="I37" s="151"/>
      <c r="J37" s="506" t="str">
        <f>(修理１!B41)&amp;""</f>
        <v/>
      </c>
      <c r="K37" s="506"/>
      <c r="L37" s="504" t="str">
        <f>(修理１!D41)&amp;""</f>
        <v/>
      </c>
      <c r="M37" s="504"/>
      <c r="N37" s="165"/>
      <c r="O37" s="155"/>
      <c r="P37" s="507" t="s">
        <v>786</v>
      </c>
      <c r="Q37" s="504"/>
      <c r="R37" s="504" t="s">
        <v>787</v>
      </c>
      <c r="S37" s="504"/>
      <c r="T37" s="504" t="s">
        <v>788</v>
      </c>
      <c r="U37" s="504"/>
      <c r="V37" s="504" t="s">
        <v>758</v>
      </c>
      <c r="W37" s="504"/>
      <c r="X37" s="504" t="s">
        <v>789</v>
      </c>
      <c r="Y37" s="504"/>
      <c r="Z37" s="504" t="s">
        <v>790</v>
      </c>
      <c r="AA37" s="504"/>
    </row>
    <row r="38" spans="1:27" ht="14.45" customHeight="1">
      <c r="P38" s="504" t="s">
        <v>791</v>
      </c>
      <c r="Q38" s="504"/>
      <c r="R38" s="504" t="s">
        <v>792</v>
      </c>
      <c r="S38" s="504"/>
      <c r="T38" s="504" t="s">
        <v>793</v>
      </c>
      <c r="U38" s="504"/>
      <c r="V38" s="504" t="s">
        <v>758</v>
      </c>
      <c r="W38" s="504"/>
      <c r="X38" s="504" t="s">
        <v>794</v>
      </c>
      <c r="Y38" s="504"/>
      <c r="Z38" s="504" t="s">
        <v>795</v>
      </c>
      <c r="AA38" s="504"/>
    </row>
    <row r="39" spans="1:27" ht="12.95" customHeight="1">
      <c r="P39" s="504" t="s">
        <v>796</v>
      </c>
      <c r="Q39" s="504"/>
      <c r="R39" s="504" t="s">
        <v>797</v>
      </c>
      <c r="S39" s="504"/>
      <c r="T39" s="506" t="s">
        <v>798</v>
      </c>
      <c r="U39" s="506"/>
      <c r="V39" s="484" t="s">
        <v>799</v>
      </c>
      <c r="W39" s="486"/>
      <c r="X39" s="504" t="s">
        <v>800</v>
      </c>
      <c r="Y39" s="504"/>
      <c r="Z39" s="504" t="s">
        <v>801</v>
      </c>
      <c r="AA39" s="504"/>
    </row>
    <row r="40" spans="1:27" ht="12.95" customHeight="1">
      <c r="P40" s="504" t="s">
        <v>802</v>
      </c>
      <c r="Q40" s="504"/>
      <c r="R40" s="484" t="s">
        <v>778</v>
      </c>
      <c r="S40" s="486"/>
      <c r="T40" s="506" t="s">
        <v>803</v>
      </c>
      <c r="U40" s="506"/>
      <c r="V40" s="484" t="s">
        <v>799</v>
      </c>
      <c r="W40" s="486"/>
      <c r="X40" s="504" t="s">
        <v>804</v>
      </c>
      <c r="Y40" s="504"/>
      <c r="Z40" s="504" t="s">
        <v>790</v>
      </c>
      <c r="AA40" s="504"/>
    </row>
    <row r="41" spans="1:27" ht="12.95" customHeight="1">
      <c r="P41" s="514" t="s">
        <v>805</v>
      </c>
      <c r="Q41" s="514"/>
      <c r="R41" s="504" t="s">
        <v>787</v>
      </c>
      <c r="S41" s="504"/>
      <c r="T41" s="504" t="s">
        <v>806</v>
      </c>
      <c r="U41" s="504"/>
      <c r="V41" s="504" t="s">
        <v>807</v>
      </c>
      <c r="W41" s="504"/>
      <c r="X41" s="504" t="s">
        <v>808</v>
      </c>
      <c r="Y41" s="504"/>
      <c r="Z41" s="504" t="s">
        <v>809</v>
      </c>
      <c r="AA41" s="504"/>
    </row>
    <row r="42" spans="1:27" ht="14.45" customHeight="1">
      <c r="P42" s="504" t="s">
        <v>810</v>
      </c>
      <c r="Q42" s="504"/>
      <c r="R42" s="504" t="s">
        <v>811</v>
      </c>
      <c r="S42" s="504"/>
      <c r="X42" s="504"/>
      <c r="Y42" s="504"/>
      <c r="Z42" s="504" t="s">
        <v>812</v>
      </c>
      <c r="AA42" s="504"/>
    </row>
    <row r="43" spans="1:27" ht="14.45" customHeight="1">
      <c r="P43" s="504" t="s">
        <v>813</v>
      </c>
      <c r="Q43" s="504"/>
      <c r="R43" s="504" t="s">
        <v>814</v>
      </c>
      <c r="S43" s="504"/>
      <c r="X43" s="504"/>
      <c r="Y43" s="504"/>
      <c r="Z43" s="504"/>
      <c r="AA43" s="504"/>
    </row>
    <row r="44" spans="1:27" ht="14.45" customHeight="1">
      <c r="P44" s="504" t="s">
        <v>578</v>
      </c>
      <c r="Q44" s="504"/>
      <c r="R44" s="504" t="s">
        <v>579</v>
      </c>
      <c r="S44" s="504"/>
    </row>
    <row r="45" spans="1:27" ht="14.45" customHeight="1">
      <c r="P45" s="504" t="s">
        <v>815</v>
      </c>
      <c r="Q45" s="504"/>
      <c r="R45" s="504" t="s">
        <v>816</v>
      </c>
      <c r="S45" s="504"/>
    </row>
  </sheetData>
  <mergeCells count="311">
    <mergeCell ref="P44:Q44"/>
    <mergeCell ref="R44:S44"/>
    <mergeCell ref="P45:Q45"/>
    <mergeCell ref="R45:S45"/>
    <mergeCell ref="P42:Q42"/>
    <mergeCell ref="R42:S42"/>
    <mergeCell ref="X42:Y42"/>
    <mergeCell ref="Z42:AA42"/>
    <mergeCell ref="P43:Q43"/>
    <mergeCell ref="R43:S43"/>
    <mergeCell ref="X43:Y43"/>
    <mergeCell ref="Z43:AA43"/>
    <mergeCell ref="P41:Q41"/>
    <mergeCell ref="R41:S41"/>
    <mergeCell ref="T41:U41"/>
    <mergeCell ref="V41:W41"/>
    <mergeCell ref="X41:Y41"/>
    <mergeCell ref="Z41:AA41"/>
    <mergeCell ref="P40:Q40"/>
    <mergeCell ref="R40:S40"/>
    <mergeCell ref="T40:U40"/>
    <mergeCell ref="V40:W40"/>
    <mergeCell ref="X40:Y40"/>
    <mergeCell ref="Z40:AA40"/>
    <mergeCell ref="P39:Q39"/>
    <mergeCell ref="R39:S39"/>
    <mergeCell ref="T39:U39"/>
    <mergeCell ref="V39:W39"/>
    <mergeCell ref="X39:Y39"/>
    <mergeCell ref="Z39:AA39"/>
    <mergeCell ref="V37:W37"/>
    <mergeCell ref="X37:Y37"/>
    <mergeCell ref="Z37:AA37"/>
    <mergeCell ref="P38:Q38"/>
    <mergeCell ref="R38:S38"/>
    <mergeCell ref="T38:U38"/>
    <mergeCell ref="V38:W38"/>
    <mergeCell ref="X38:Y38"/>
    <mergeCell ref="Z38:AA38"/>
    <mergeCell ref="Z35:AA35"/>
    <mergeCell ref="A36:H36"/>
    <mergeCell ref="J36:K36"/>
    <mergeCell ref="L36:M36"/>
    <mergeCell ref="P36:Q36"/>
    <mergeCell ref="R36:S36"/>
    <mergeCell ref="T36:U36"/>
    <mergeCell ref="V36:W36"/>
    <mergeCell ref="X36:Y36"/>
    <mergeCell ref="Z36:AA36"/>
    <mergeCell ref="A35:H35"/>
    <mergeCell ref="J35:K35"/>
    <mergeCell ref="L35:M35"/>
    <mergeCell ref="P35:Q35"/>
    <mergeCell ref="R35:S35"/>
    <mergeCell ref="T35:U35"/>
    <mergeCell ref="V35:W35"/>
    <mergeCell ref="X35:Y35"/>
    <mergeCell ref="A37:H37"/>
    <mergeCell ref="J37:K37"/>
    <mergeCell ref="L37:M37"/>
    <mergeCell ref="P37:Q37"/>
    <mergeCell ref="R37:S37"/>
    <mergeCell ref="T37:U37"/>
    <mergeCell ref="V33:W33"/>
    <mergeCell ref="X33:Y33"/>
    <mergeCell ref="Z33:AA33"/>
    <mergeCell ref="A34:H34"/>
    <mergeCell ref="J34:K34"/>
    <mergeCell ref="L34:M34"/>
    <mergeCell ref="P34:Q34"/>
    <mergeCell ref="R34:S34"/>
    <mergeCell ref="T34:U34"/>
    <mergeCell ref="V34:W34"/>
    <mergeCell ref="A33:H33"/>
    <mergeCell ref="J33:K33"/>
    <mergeCell ref="L33:M33"/>
    <mergeCell ref="P33:Q33"/>
    <mergeCell ref="R33:S33"/>
    <mergeCell ref="T33:U33"/>
    <mergeCell ref="X34:Y34"/>
    <mergeCell ref="Z34:AA34"/>
    <mergeCell ref="A32:H32"/>
    <mergeCell ref="J32:K32"/>
    <mergeCell ref="L32:M32"/>
    <mergeCell ref="P32:Q32"/>
    <mergeCell ref="R32:S32"/>
    <mergeCell ref="T32:U32"/>
    <mergeCell ref="V32:W32"/>
    <mergeCell ref="X32:Y32"/>
    <mergeCell ref="Z32:AA32"/>
    <mergeCell ref="A31:H31"/>
    <mergeCell ref="J31:K31"/>
    <mergeCell ref="L31:M31"/>
    <mergeCell ref="P31:Q31"/>
    <mergeCell ref="R31:S31"/>
    <mergeCell ref="T31:U31"/>
    <mergeCell ref="V31:W31"/>
    <mergeCell ref="X31:Y31"/>
    <mergeCell ref="Z31:AA31"/>
    <mergeCell ref="V29:W29"/>
    <mergeCell ref="X29:Y29"/>
    <mergeCell ref="Z29:AA29"/>
    <mergeCell ref="A30:H30"/>
    <mergeCell ref="J30:K30"/>
    <mergeCell ref="L30:M30"/>
    <mergeCell ref="P30:Q30"/>
    <mergeCell ref="R30:S30"/>
    <mergeCell ref="T30:U30"/>
    <mergeCell ref="V30:W30"/>
    <mergeCell ref="A29:H29"/>
    <mergeCell ref="J29:K29"/>
    <mergeCell ref="L29:M29"/>
    <mergeCell ref="P29:Q29"/>
    <mergeCell ref="R29:S29"/>
    <mergeCell ref="T29:U29"/>
    <mergeCell ref="X30:Y30"/>
    <mergeCell ref="Z30:AA30"/>
    <mergeCell ref="A28:H28"/>
    <mergeCell ref="J28:K28"/>
    <mergeCell ref="L28:M28"/>
    <mergeCell ref="P28:Q28"/>
    <mergeCell ref="R28:S28"/>
    <mergeCell ref="T28:U28"/>
    <mergeCell ref="V28:W28"/>
    <mergeCell ref="X28:Y28"/>
    <mergeCell ref="Z28:AA28"/>
    <mergeCell ref="A27:H27"/>
    <mergeCell ref="J27:K27"/>
    <mergeCell ref="L27:M27"/>
    <mergeCell ref="P27:Q27"/>
    <mergeCell ref="R27:S27"/>
    <mergeCell ref="T27:U27"/>
    <mergeCell ref="V27:W27"/>
    <mergeCell ref="X27:Y27"/>
    <mergeCell ref="Z27:AA27"/>
    <mergeCell ref="V25:W25"/>
    <mergeCell ref="X25:Y25"/>
    <mergeCell ref="Z25:AA25"/>
    <mergeCell ref="A26:H26"/>
    <mergeCell ref="J26:K26"/>
    <mergeCell ref="L26:M26"/>
    <mergeCell ref="P26:Q26"/>
    <mergeCell ref="R26:S26"/>
    <mergeCell ref="T26:U26"/>
    <mergeCell ref="V26:W26"/>
    <mergeCell ref="A25:H25"/>
    <mergeCell ref="J25:K25"/>
    <mergeCell ref="L25:M25"/>
    <mergeCell ref="P25:Q25"/>
    <mergeCell ref="R25:S25"/>
    <mergeCell ref="T25:U25"/>
    <mergeCell ref="X26:Y26"/>
    <mergeCell ref="Z26:AA26"/>
    <mergeCell ref="A24:H24"/>
    <mergeCell ref="J24:K24"/>
    <mergeCell ref="L24:M24"/>
    <mergeCell ref="P24:Q24"/>
    <mergeCell ref="R24:S24"/>
    <mergeCell ref="T24:U24"/>
    <mergeCell ref="V24:W24"/>
    <mergeCell ref="X24:Y24"/>
    <mergeCell ref="Z24:AA24"/>
    <mergeCell ref="A23:H23"/>
    <mergeCell ref="J23:K23"/>
    <mergeCell ref="L23:M23"/>
    <mergeCell ref="P23:Q23"/>
    <mergeCell ref="R23:S23"/>
    <mergeCell ref="T23:U23"/>
    <mergeCell ref="V23:W23"/>
    <mergeCell ref="X23:Y23"/>
    <mergeCell ref="Z23:AA23"/>
    <mergeCell ref="V21:W21"/>
    <mergeCell ref="X21:Y21"/>
    <mergeCell ref="Z21:AA21"/>
    <mergeCell ref="A22:H22"/>
    <mergeCell ref="J22:K22"/>
    <mergeCell ref="L22:M22"/>
    <mergeCell ref="P22:Q22"/>
    <mergeCell ref="R22:S22"/>
    <mergeCell ref="T22:U22"/>
    <mergeCell ref="V22:W22"/>
    <mergeCell ref="A21:H21"/>
    <mergeCell ref="J21:K21"/>
    <mergeCell ref="L21:M21"/>
    <mergeCell ref="P21:Q21"/>
    <mergeCell ref="R21:S21"/>
    <mergeCell ref="T21:U21"/>
    <mergeCell ref="X22:Y22"/>
    <mergeCell ref="Z22:AA22"/>
    <mergeCell ref="A20:H20"/>
    <mergeCell ref="J20:K20"/>
    <mergeCell ref="L20:M20"/>
    <mergeCell ref="P20:Q20"/>
    <mergeCell ref="R20:S20"/>
    <mergeCell ref="T20:U20"/>
    <mergeCell ref="V20:W20"/>
    <mergeCell ref="X20:Y20"/>
    <mergeCell ref="Z20:AA20"/>
    <mergeCell ref="A19:H19"/>
    <mergeCell ref="J19:K19"/>
    <mergeCell ref="L19:M19"/>
    <mergeCell ref="P19:Q19"/>
    <mergeCell ref="R19:S19"/>
    <mergeCell ref="T19:U19"/>
    <mergeCell ref="V19:W19"/>
    <mergeCell ref="X19:Y19"/>
    <mergeCell ref="Z19:AA19"/>
    <mergeCell ref="V17:W17"/>
    <mergeCell ref="X17:Y17"/>
    <mergeCell ref="Z17:AA17"/>
    <mergeCell ref="A18:H18"/>
    <mergeCell ref="J18:K18"/>
    <mergeCell ref="L18:M18"/>
    <mergeCell ref="P18:Q18"/>
    <mergeCell ref="R18:S18"/>
    <mergeCell ref="T18:U18"/>
    <mergeCell ref="V18:W18"/>
    <mergeCell ref="A17:H17"/>
    <mergeCell ref="J17:K17"/>
    <mergeCell ref="L17:M17"/>
    <mergeCell ref="P17:Q17"/>
    <mergeCell ref="R17:S17"/>
    <mergeCell ref="T17:U17"/>
    <mergeCell ref="X18:Y18"/>
    <mergeCell ref="Z18:AA18"/>
    <mergeCell ref="A14:B14"/>
    <mergeCell ref="C14:D14"/>
    <mergeCell ref="G14:H14"/>
    <mergeCell ref="P14:Q14"/>
    <mergeCell ref="A15:B15"/>
    <mergeCell ref="C15:D15"/>
    <mergeCell ref="G15:H15"/>
    <mergeCell ref="T12:U12"/>
    <mergeCell ref="V12:W12"/>
    <mergeCell ref="A13:B13"/>
    <mergeCell ref="C13:D13"/>
    <mergeCell ref="G13:H13"/>
    <mergeCell ref="P13:Q13"/>
    <mergeCell ref="V13:W13"/>
    <mergeCell ref="R11:S11"/>
    <mergeCell ref="V11:W11"/>
    <mergeCell ref="X11:Y11"/>
    <mergeCell ref="Z11:AB11"/>
    <mergeCell ref="A12:B12"/>
    <mergeCell ref="C12:D12"/>
    <mergeCell ref="E12:G12"/>
    <mergeCell ref="H12:I12"/>
    <mergeCell ref="J12:M12"/>
    <mergeCell ref="P12:Q12"/>
    <mergeCell ref="A11:B11"/>
    <mergeCell ref="C11:D11"/>
    <mergeCell ref="E11:G11"/>
    <mergeCell ref="H11:I11"/>
    <mergeCell ref="J11:M11"/>
    <mergeCell ref="P11:Q11"/>
    <mergeCell ref="A10:B10"/>
    <mergeCell ref="C10:D10"/>
    <mergeCell ref="E10:G10"/>
    <mergeCell ref="H10:I10"/>
    <mergeCell ref="J10:M10"/>
    <mergeCell ref="P10:Q10"/>
    <mergeCell ref="A9:B9"/>
    <mergeCell ref="C9:D9"/>
    <mergeCell ref="E9:G9"/>
    <mergeCell ref="H9:I9"/>
    <mergeCell ref="J9:M9"/>
    <mergeCell ref="P9:Q9"/>
    <mergeCell ref="V7:W7"/>
    <mergeCell ref="A8:B8"/>
    <mergeCell ref="C8:D8"/>
    <mergeCell ref="E8:G8"/>
    <mergeCell ref="H8:I8"/>
    <mergeCell ref="J8:M8"/>
    <mergeCell ref="P8:Q8"/>
    <mergeCell ref="R8:S8"/>
    <mergeCell ref="T8:U8"/>
    <mergeCell ref="A7:B7"/>
    <mergeCell ref="C7:D7"/>
    <mergeCell ref="E7:G7"/>
    <mergeCell ref="H7:I7"/>
    <mergeCell ref="J7:M7"/>
    <mergeCell ref="P7:Q7"/>
    <mergeCell ref="A4:B4"/>
    <mergeCell ref="C4:D4"/>
    <mergeCell ref="R4:S4"/>
    <mergeCell ref="T4:U4"/>
    <mergeCell ref="V4:X4"/>
    <mergeCell ref="V5:X5"/>
    <mergeCell ref="A6:I6"/>
    <mergeCell ref="P6:Q6"/>
    <mergeCell ref="R6:S6"/>
    <mergeCell ref="T6:U6"/>
    <mergeCell ref="V6:W6"/>
    <mergeCell ref="X6:Y6"/>
    <mergeCell ref="A5:B5"/>
    <mergeCell ref="C5:D5"/>
    <mergeCell ref="I5:M5"/>
    <mergeCell ref="P5:Q5"/>
    <mergeCell ref="R5:S5"/>
    <mergeCell ref="T5:U5"/>
    <mergeCell ref="A1:O1"/>
    <mergeCell ref="T1:U1"/>
    <mergeCell ref="V1:X1"/>
    <mergeCell ref="R2:S2"/>
    <mergeCell ref="T2:U2"/>
    <mergeCell ref="V2:X2"/>
    <mergeCell ref="L3:N3"/>
    <mergeCell ref="P3:Q3"/>
    <mergeCell ref="R3:S3"/>
    <mergeCell ref="T3:U3"/>
    <mergeCell ref="V3:X3"/>
  </mergeCells>
  <phoneticPr fontId="1"/>
  <pageMargins left="0.7" right="0.7" top="0.75" bottom="0.75" header="0.3" footer="0.3"/>
  <pageSetup paperSize="9"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D3D2A-E7A6-4A9F-B077-33BBF2FC7F00}">
  <dimension ref="A1:AO49"/>
  <sheetViews>
    <sheetView workbookViewId="0">
      <selection activeCell="H5" sqref="H5:J5"/>
    </sheetView>
  </sheetViews>
  <sheetFormatPr defaultRowHeight="13.5"/>
  <cols>
    <col min="2" max="2" width="8.375" customWidth="1"/>
    <col min="3" max="3" width="9.375" customWidth="1"/>
    <col min="4" max="4" width="9.125" customWidth="1"/>
    <col min="5" max="5" width="4.375" customWidth="1"/>
    <col min="6" max="6" width="6.625" customWidth="1"/>
    <col min="7" max="7" width="6" customWidth="1"/>
    <col min="8" max="9" width="11.375" customWidth="1"/>
    <col min="10" max="10" width="11.25" customWidth="1"/>
    <col min="11" max="11" width="0.75" customWidth="1"/>
    <col min="12" max="15" width="8" customWidth="1"/>
    <col min="16" max="17" width="7.75" customWidth="1"/>
    <col min="18" max="18" width="7.25" customWidth="1"/>
    <col min="19" max="22" width="8" customWidth="1"/>
    <col min="23" max="25" width="7.75" customWidth="1"/>
    <col min="26" max="29" width="8" customWidth="1"/>
    <col min="30" max="32" width="7.75" customWidth="1"/>
  </cols>
  <sheetData>
    <row r="1" spans="1:41" ht="16.5" customHeight="1">
      <c r="A1" s="309" t="s">
        <v>4</v>
      </c>
      <c r="B1" s="309"/>
      <c r="C1" s="309"/>
      <c r="D1" s="309"/>
      <c r="E1" s="309"/>
      <c r="F1" s="309"/>
      <c r="G1" s="309"/>
      <c r="H1" s="309"/>
      <c r="I1" s="309"/>
      <c r="J1" s="309"/>
      <c r="K1" s="79"/>
      <c r="L1" s="1"/>
      <c r="M1" s="1"/>
      <c r="N1" s="1"/>
      <c r="O1" s="1"/>
      <c r="P1" s="1"/>
      <c r="Q1" s="1"/>
      <c r="R1" s="1"/>
      <c r="S1" s="1"/>
      <c r="T1" s="1"/>
      <c r="U1" s="1"/>
      <c r="V1" s="1"/>
      <c r="W1" s="1"/>
      <c r="X1" s="1"/>
      <c r="Y1" s="1"/>
      <c r="Z1" s="1"/>
      <c r="AA1" s="1"/>
      <c r="AB1" s="1"/>
      <c r="AC1" s="1"/>
      <c r="AD1" s="1"/>
    </row>
    <row r="2" spans="1:41" ht="16.5" customHeight="1">
      <c r="A2" s="9"/>
      <c r="B2" s="9"/>
      <c r="C2" s="9"/>
      <c r="D2" s="9"/>
      <c r="E2" s="9"/>
      <c r="F2" s="9"/>
      <c r="G2" s="9"/>
      <c r="H2" s="286"/>
      <c r="I2" s="286"/>
      <c r="J2" s="9"/>
      <c r="K2" s="9"/>
      <c r="L2" s="1"/>
      <c r="M2" s="1"/>
      <c r="N2" s="1"/>
      <c r="O2" s="1"/>
      <c r="P2" s="1"/>
      <c r="Q2" s="1"/>
      <c r="R2" s="1"/>
      <c r="S2" s="1"/>
      <c r="T2" s="1"/>
      <c r="U2" s="1"/>
      <c r="V2" s="1"/>
      <c r="W2" s="1"/>
      <c r="X2" s="1"/>
      <c r="Y2" s="1"/>
      <c r="Z2" s="1"/>
      <c r="AA2" s="1"/>
      <c r="AB2" s="1"/>
      <c r="AC2" s="1"/>
      <c r="AD2" s="1"/>
    </row>
    <row r="3" spans="1:41" ht="16.5" customHeight="1">
      <c r="A3" s="311"/>
      <c r="B3" s="311"/>
      <c r="C3" s="311"/>
      <c r="D3" s="311"/>
      <c r="E3" s="311"/>
      <c r="F3" s="9"/>
      <c r="G3" s="9"/>
      <c r="H3" s="305" t="s">
        <v>1221</v>
      </c>
      <c r="I3" s="305"/>
      <c r="J3" s="305"/>
      <c r="K3" s="48"/>
      <c r="L3" s="1"/>
      <c r="M3" s="1"/>
      <c r="N3" s="1"/>
      <c r="O3" s="1"/>
      <c r="P3" s="1"/>
      <c r="Q3" s="1"/>
      <c r="R3" s="1"/>
      <c r="S3" s="1"/>
      <c r="T3" s="1"/>
      <c r="U3" s="1"/>
      <c r="V3" s="1"/>
      <c r="W3" s="1"/>
      <c r="X3" s="1"/>
      <c r="Y3" s="1"/>
      <c r="Z3" s="1"/>
      <c r="AA3" s="1"/>
      <c r="AB3" s="1"/>
      <c r="AC3" s="1"/>
      <c r="AD3" s="1"/>
    </row>
    <row r="4" spans="1:41" ht="16.5" customHeight="1">
      <c r="A4" s="280" t="s">
        <v>0</v>
      </c>
      <c r="B4" s="280"/>
      <c r="C4" s="280"/>
      <c r="D4" s="280"/>
      <c r="E4" s="280"/>
      <c r="F4" s="9"/>
      <c r="G4" s="9"/>
      <c r="H4" s="515"/>
      <c r="I4" s="515"/>
      <c r="J4" s="9"/>
      <c r="K4" s="9"/>
      <c r="L4" s="1"/>
      <c r="M4" s="1"/>
      <c r="N4" s="1"/>
      <c r="O4" s="1"/>
      <c r="P4" s="1"/>
      <c r="Q4" s="1"/>
      <c r="R4" s="1"/>
      <c r="S4" s="1"/>
      <c r="T4" s="1"/>
      <c r="U4" s="1"/>
      <c r="V4" s="1"/>
      <c r="W4" s="1"/>
      <c r="X4" s="1"/>
      <c r="Y4" s="1"/>
      <c r="Z4" s="1"/>
      <c r="AA4" s="1"/>
      <c r="AB4" s="1"/>
      <c r="AC4" s="1"/>
      <c r="AD4" s="1"/>
    </row>
    <row r="5" spans="1:41" ht="16.5" customHeight="1">
      <c r="A5" s="280" t="s">
        <v>1</v>
      </c>
      <c r="B5" s="280"/>
      <c r="C5" s="280"/>
      <c r="D5" s="280"/>
      <c r="E5" s="293"/>
      <c r="F5" s="9"/>
      <c r="G5" s="3"/>
      <c r="H5" s="294" t="s">
        <v>3</v>
      </c>
      <c r="I5" s="294"/>
      <c r="J5" s="298"/>
      <c r="K5" s="3"/>
      <c r="L5" s="1"/>
      <c r="M5" s="1"/>
      <c r="N5" s="1"/>
      <c r="O5" s="1"/>
      <c r="P5" s="1"/>
      <c r="Q5" s="1"/>
      <c r="R5" s="1"/>
      <c r="S5" s="1"/>
      <c r="T5" s="1"/>
      <c r="U5" s="1"/>
      <c r="V5" s="1"/>
      <c r="W5" s="1"/>
      <c r="X5" s="1"/>
      <c r="Y5" s="1"/>
      <c r="Z5" s="1"/>
      <c r="AA5" s="1"/>
      <c r="AB5" s="1"/>
      <c r="AC5" s="1"/>
      <c r="AD5" s="1"/>
    </row>
    <row r="6" spans="1:41" ht="16.5" customHeight="1">
      <c r="A6" s="280" t="s">
        <v>2</v>
      </c>
      <c r="B6" s="280"/>
      <c r="C6" s="280"/>
      <c r="D6" s="280"/>
      <c r="E6" s="293"/>
      <c r="F6" s="9"/>
      <c r="G6" s="3"/>
      <c r="H6" s="294" t="s">
        <v>24</v>
      </c>
      <c r="I6" s="294"/>
      <c r="J6" s="3"/>
      <c r="K6" s="3"/>
      <c r="L6" s="1"/>
      <c r="M6" s="1"/>
      <c r="N6" s="1"/>
      <c r="O6" s="1"/>
      <c r="P6" s="1"/>
      <c r="Q6" s="1"/>
      <c r="R6" s="1"/>
      <c r="S6" s="1"/>
      <c r="T6" s="1"/>
      <c r="U6" s="1"/>
      <c r="V6" s="1"/>
      <c r="W6" s="1"/>
      <c r="X6" s="1"/>
      <c r="Y6" s="1"/>
      <c r="Z6" s="1"/>
      <c r="AA6" s="1"/>
      <c r="AB6" s="1"/>
      <c r="AC6" s="1"/>
      <c r="AD6" s="1"/>
    </row>
    <row r="7" spans="1:41" ht="16.5" customHeight="1">
      <c r="A7" s="49"/>
      <c r="B7" s="49"/>
      <c r="C7" s="49"/>
      <c r="D7" s="54"/>
      <c r="E7" s="54"/>
      <c r="F7" s="9"/>
      <c r="G7" s="3"/>
      <c r="H7" s="294" t="s">
        <v>25</v>
      </c>
      <c r="I7" s="294"/>
      <c r="J7" s="294"/>
      <c r="K7" s="59"/>
      <c r="L7" s="1"/>
      <c r="M7" s="1"/>
      <c r="N7" s="1"/>
      <c r="O7" s="1"/>
      <c r="P7" s="1"/>
      <c r="Q7" s="1"/>
      <c r="R7" s="1"/>
      <c r="S7" s="1"/>
      <c r="T7" s="1"/>
      <c r="U7" s="1"/>
      <c r="V7" s="1"/>
      <c r="W7" s="1"/>
      <c r="X7" s="1"/>
      <c r="Y7" s="1"/>
      <c r="Z7" s="1"/>
      <c r="AA7" s="1"/>
      <c r="AB7" s="1"/>
      <c r="AC7" s="1"/>
      <c r="AD7" s="1"/>
    </row>
    <row r="8" spans="1:41" ht="16.5" customHeight="1">
      <c r="A8" s="297"/>
      <c r="B8" s="297"/>
      <c r="C8" s="297"/>
      <c r="D8" s="297"/>
      <c r="E8" s="55" t="s">
        <v>30</v>
      </c>
      <c r="F8" s="9"/>
      <c r="G8" s="3"/>
      <c r="H8" s="294" t="s">
        <v>26</v>
      </c>
      <c r="I8" s="294"/>
      <c r="J8" s="298"/>
      <c r="K8" s="3"/>
      <c r="L8" s="1"/>
      <c r="M8" s="1"/>
      <c r="N8" s="1"/>
      <c r="O8" s="1"/>
      <c r="P8" s="1"/>
      <c r="Q8" s="1"/>
      <c r="R8" s="1"/>
      <c r="S8" s="1"/>
      <c r="T8" s="1"/>
      <c r="U8" s="1"/>
      <c r="V8" s="1"/>
      <c r="W8" s="1"/>
      <c r="X8" s="1"/>
      <c r="Y8" s="1"/>
      <c r="Z8" s="1"/>
      <c r="AA8" s="1"/>
      <c r="AB8" s="1"/>
      <c r="AC8" s="1"/>
      <c r="AD8" s="1"/>
    </row>
    <row r="9" spans="1:41" ht="16.5" customHeight="1">
      <c r="A9" s="60"/>
      <c r="B9" s="51"/>
      <c r="C9" s="49"/>
      <c r="D9" s="65"/>
      <c r="E9" s="55" t="s">
        <v>5</v>
      </c>
      <c r="F9" s="9"/>
      <c r="G9" s="3"/>
      <c r="H9" s="294" t="s">
        <v>27</v>
      </c>
      <c r="I9" s="294"/>
      <c r="J9" s="298"/>
      <c r="K9" s="3"/>
      <c r="L9" s="1"/>
      <c r="M9" s="1"/>
      <c r="N9" s="1"/>
      <c r="O9" s="1"/>
      <c r="P9" s="1"/>
      <c r="Q9" s="1"/>
      <c r="R9" s="1"/>
      <c r="S9" s="1"/>
      <c r="T9" s="1"/>
      <c r="U9" s="1"/>
      <c r="V9" s="1"/>
      <c r="W9" s="1"/>
      <c r="X9" s="1"/>
      <c r="Y9" s="1"/>
      <c r="Z9" s="1"/>
      <c r="AA9" s="1"/>
      <c r="AB9" s="1"/>
      <c r="AC9" s="1"/>
      <c r="AD9" s="1"/>
    </row>
    <row r="10" spans="1:41" ht="16.5" customHeight="1">
      <c r="A10" s="56"/>
      <c r="B10" s="56"/>
      <c r="C10" s="56"/>
      <c r="D10" s="49"/>
      <c r="E10" s="49"/>
      <c r="F10" s="9"/>
      <c r="G10" s="294" t="s">
        <v>431</v>
      </c>
      <c r="H10" s="294"/>
      <c r="I10" s="294"/>
      <c r="J10" s="294"/>
      <c r="K10" s="59"/>
      <c r="L10" s="297"/>
      <c r="M10" s="297"/>
      <c r="N10" s="297"/>
      <c r="O10" s="297"/>
      <c r="P10" s="46"/>
      <c r="Q10" s="46"/>
      <c r="R10" s="297"/>
      <c r="S10" s="321"/>
      <c r="T10" s="321"/>
      <c r="U10" s="46"/>
      <c r="V10" s="50"/>
      <c r="W10" s="1"/>
      <c r="X10" s="3"/>
      <c r="Y10" s="3"/>
      <c r="Z10" s="94"/>
      <c r="AA10" s="94"/>
      <c r="AB10" s="94"/>
      <c r="AC10" s="94"/>
      <c r="AO10" s="8"/>
    </row>
    <row r="11" spans="1:41" ht="16.5" customHeight="1">
      <c r="A11" s="57"/>
      <c r="B11" s="295" t="s">
        <v>1210</v>
      </c>
      <c r="C11" s="295"/>
      <c r="D11" s="295"/>
      <c r="E11" s="295"/>
      <c r="F11" s="9"/>
      <c r="G11" s="520"/>
      <c r="H11" s="520"/>
      <c r="I11" s="520"/>
      <c r="J11" s="520"/>
      <c r="K11" s="9"/>
      <c r="L11" s="254" t="s">
        <v>433</v>
      </c>
      <c r="M11" s="254"/>
      <c r="N11" s="254"/>
      <c r="O11" s="254"/>
      <c r="P11" s="15" t="s">
        <v>50</v>
      </c>
      <c r="Q11" s="15" t="s">
        <v>48</v>
      </c>
      <c r="V11" s="53"/>
      <c r="W11" s="15" t="s">
        <v>50</v>
      </c>
      <c r="X11" s="15" t="s">
        <v>49</v>
      </c>
      <c r="Y11" s="15" t="s">
        <v>48</v>
      </c>
      <c r="Z11" s="297"/>
      <c r="AA11" s="297"/>
      <c r="AB11" s="297"/>
      <c r="AC11" s="297"/>
      <c r="AD11" s="15" t="s">
        <v>50</v>
      </c>
      <c r="AE11" s="15" t="s">
        <v>49</v>
      </c>
      <c r="AF11" s="15" t="s">
        <v>48</v>
      </c>
    </row>
    <row r="12" spans="1:41" ht="16.5" customHeight="1">
      <c r="A12" s="2" t="s">
        <v>6</v>
      </c>
      <c r="B12" s="262"/>
      <c r="C12" s="263"/>
      <c r="D12" s="263"/>
      <c r="E12" s="264"/>
      <c r="F12" s="9"/>
      <c r="G12" s="9"/>
      <c r="H12" s="87"/>
      <c r="I12" s="87"/>
      <c r="J12" s="87"/>
      <c r="K12" s="87"/>
      <c r="L12" s="516" t="s">
        <v>912</v>
      </c>
      <c r="M12" s="517"/>
      <c r="N12" s="518" t="s">
        <v>432</v>
      </c>
      <c r="O12" s="519"/>
      <c r="P12" s="168">
        <v>7500</v>
      </c>
      <c r="Q12" s="168">
        <v>8500</v>
      </c>
      <c r="R12" s="4" t="s">
        <v>39</v>
      </c>
      <c r="S12" s="401" t="s">
        <v>219</v>
      </c>
      <c r="T12" s="308"/>
      <c r="U12" s="402" t="s">
        <v>93</v>
      </c>
      <c r="V12" s="403"/>
      <c r="W12" s="90">
        <v>200</v>
      </c>
      <c r="X12" s="90">
        <v>300</v>
      </c>
      <c r="Y12" s="90">
        <v>300</v>
      </c>
      <c r="Z12" s="436" t="s">
        <v>267</v>
      </c>
      <c r="AA12" s="437"/>
      <c r="AB12" s="429" t="s">
        <v>68</v>
      </c>
      <c r="AC12" s="447"/>
      <c r="AD12" s="95">
        <v>330</v>
      </c>
      <c r="AE12" s="95"/>
      <c r="AF12" s="95">
        <v>400</v>
      </c>
      <c r="AI12" s="448" t="s">
        <v>67</v>
      </c>
      <c r="AJ12" s="448"/>
    </row>
    <row r="13" spans="1:41" ht="16.5" customHeight="1">
      <c r="A13" s="2" t="s">
        <v>7</v>
      </c>
      <c r="B13" s="262" t="s">
        <v>359</v>
      </c>
      <c r="C13" s="263"/>
      <c r="D13" s="263"/>
      <c r="E13" s="264"/>
      <c r="F13" s="9"/>
      <c r="G13" s="9"/>
      <c r="H13" s="521"/>
      <c r="I13" s="312" t="s">
        <v>425</v>
      </c>
      <c r="J13" s="455"/>
      <c r="K13" s="11"/>
      <c r="L13" s="526" t="s">
        <v>295</v>
      </c>
      <c r="M13" s="527"/>
      <c r="N13" s="528" t="s">
        <v>105</v>
      </c>
      <c r="O13" s="529"/>
      <c r="P13" s="168">
        <v>1200</v>
      </c>
      <c r="Q13" s="168">
        <v>1500</v>
      </c>
      <c r="R13" s="4" t="s">
        <v>84</v>
      </c>
      <c r="S13" s="401" t="s">
        <v>220</v>
      </c>
      <c r="T13" s="308"/>
      <c r="U13" s="402" t="s">
        <v>92</v>
      </c>
      <c r="V13" s="403"/>
      <c r="W13" s="90">
        <v>300</v>
      </c>
      <c r="X13" s="90">
        <v>350</v>
      </c>
      <c r="Y13" s="90">
        <v>400</v>
      </c>
      <c r="Z13" s="436" t="s">
        <v>268</v>
      </c>
      <c r="AA13" s="437"/>
      <c r="AB13" s="429" t="s">
        <v>69</v>
      </c>
      <c r="AC13" s="447"/>
      <c r="AD13" s="95">
        <v>300</v>
      </c>
      <c r="AE13" s="95"/>
      <c r="AF13" s="95">
        <v>380</v>
      </c>
      <c r="AI13" s="445"/>
      <c r="AJ13" s="445"/>
    </row>
    <row r="14" spans="1:41" ht="16.5" customHeight="1">
      <c r="A14" s="2" t="s">
        <v>8</v>
      </c>
      <c r="B14" s="262" t="s">
        <v>21</v>
      </c>
      <c r="C14" s="263"/>
      <c r="D14" s="263"/>
      <c r="E14" s="264"/>
      <c r="F14" s="9"/>
      <c r="G14" s="9"/>
      <c r="H14" s="522"/>
      <c r="I14" s="313"/>
      <c r="J14" s="524"/>
      <c r="K14" s="11"/>
      <c r="L14" s="530" t="s">
        <v>913</v>
      </c>
      <c r="M14" s="518"/>
      <c r="N14" s="528" t="s">
        <v>434</v>
      </c>
      <c r="O14" s="529"/>
      <c r="P14" s="168">
        <v>2500</v>
      </c>
      <c r="Q14" s="168">
        <v>3000</v>
      </c>
      <c r="R14" s="4" t="s">
        <v>39</v>
      </c>
      <c r="S14" s="401" t="s">
        <v>221</v>
      </c>
      <c r="T14" s="308"/>
      <c r="U14" s="402" t="s">
        <v>91</v>
      </c>
      <c r="V14" s="403"/>
      <c r="W14" s="90">
        <v>300</v>
      </c>
      <c r="X14" s="90">
        <v>350</v>
      </c>
      <c r="Y14" s="90">
        <v>400</v>
      </c>
      <c r="Z14" s="436" t="s">
        <v>269</v>
      </c>
      <c r="AA14" s="437"/>
      <c r="AB14" s="429" t="s">
        <v>70</v>
      </c>
      <c r="AC14" s="447"/>
      <c r="AD14" s="95">
        <v>1900</v>
      </c>
      <c r="AE14" s="95"/>
      <c r="AF14" s="95">
        <v>2300</v>
      </c>
      <c r="AI14" s="445"/>
      <c r="AJ14" s="445"/>
    </row>
    <row r="15" spans="1:41" ht="16.5" customHeight="1">
      <c r="A15" s="2" t="s">
        <v>9</v>
      </c>
      <c r="B15" s="262" t="s">
        <v>22</v>
      </c>
      <c r="C15" s="263"/>
      <c r="D15" s="263"/>
      <c r="E15" s="264"/>
      <c r="F15" s="9"/>
      <c r="G15" s="9"/>
      <c r="H15" s="522"/>
      <c r="I15" s="313"/>
      <c r="J15" s="524"/>
      <c r="K15" s="11"/>
      <c r="L15" s="526" t="s">
        <v>296</v>
      </c>
      <c r="M15" s="527"/>
      <c r="N15" s="533" t="s">
        <v>101</v>
      </c>
      <c r="O15" s="533"/>
      <c r="P15" s="168">
        <v>11500</v>
      </c>
      <c r="Q15" s="168">
        <v>12000</v>
      </c>
      <c r="R15" s="4" t="s">
        <v>39</v>
      </c>
      <c r="S15" s="401" t="s">
        <v>222</v>
      </c>
      <c r="T15" s="308"/>
      <c r="U15" s="402" t="s">
        <v>90</v>
      </c>
      <c r="V15" s="403"/>
      <c r="W15" s="90">
        <v>300</v>
      </c>
      <c r="X15" s="90">
        <v>350</v>
      </c>
      <c r="Y15" s="90">
        <v>400</v>
      </c>
      <c r="Z15" s="436" t="s">
        <v>270</v>
      </c>
      <c r="AA15" s="437"/>
      <c r="AB15" s="429" t="s">
        <v>71</v>
      </c>
      <c r="AC15" s="447"/>
      <c r="AD15" s="95">
        <v>300</v>
      </c>
      <c r="AE15" s="95"/>
      <c r="AF15" s="95">
        <v>400</v>
      </c>
      <c r="AI15" s="445"/>
      <c r="AJ15" s="445"/>
    </row>
    <row r="16" spans="1:41" ht="16.5" customHeight="1">
      <c r="A16" s="2" t="s">
        <v>10</v>
      </c>
      <c r="B16" s="262" t="s">
        <v>23</v>
      </c>
      <c r="C16" s="263"/>
      <c r="D16" s="263"/>
      <c r="E16" s="264"/>
      <c r="F16" s="9"/>
      <c r="G16" s="9"/>
      <c r="H16" s="523"/>
      <c r="I16" s="314"/>
      <c r="J16" s="525"/>
      <c r="K16" s="11"/>
      <c r="L16" s="531" t="s">
        <v>182</v>
      </c>
      <c r="M16" s="532"/>
      <c r="N16" s="533" t="s">
        <v>100</v>
      </c>
      <c r="O16" s="533"/>
      <c r="P16" s="168">
        <v>13000</v>
      </c>
      <c r="Q16" s="168">
        <v>14000</v>
      </c>
      <c r="R16" s="4" t="s">
        <v>39</v>
      </c>
      <c r="S16" s="401" t="s">
        <v>223</v>
      </c>
      <c r="T16" s="308"/>
      <c r="U16" s="402" t="s">
        <v>94</v>
      </c>
      <c r="V16" s="403"/>
      <c r="W16" s="90">
        <v>1500</v>
      </c>
      <c r="X16" s="90">
        <v>1800</v>
      </c>
      <c r="Y16" s="90">
        <v>2000</v>
      </c>
      <c r="Z16" s="436" t="s">
        <v>271</v>
      </c>
      <c r="AA16" s="437"/>
      <c r="AB16" s="429" t="s">
        <v>72</v>
      </c>
      <c r="AC16" s="447"/>
      <c r="AD16" s="95">
        <v>800</v>
      </c>
      <c r="AE16" s="95"/>
      <c r="AF16" s="95">
        <v>1000</v>
      </c>
      <c r="AI16" s="445"/>
      <c r="AJ16" s="445"/>
    </row>
    <row r="17" spans="1:36" ht="16.5" customHeight="1">
      <c r="A17" s="3"/>
      <c r="B17" s="49"/>
      <c r="C17" s="49"/>
      <c r="D17" s="49"/>
      <c r="E17" s="49"/>
      <c r="F17" s="9"/>
      <c r="G17" s="9"/>
      <c r="H17" s="9"/>
      <c r="I17" s="9"/>
      <c r="J17" s="9"/>
      <c r="K17" s="9"/>
      <c r="L17" s="534" t="s">
        <v>183</v>
      </c>
      <c r="M17" s="535"/>
      <c r="N17" s="528" t="s">
        <v>205</v>
      </c>
      <c r="O17" s="529"/>
      <c r="P17" s="168">
        <v>9000</v>
      </c>
      <c r="Q17" s="168">
        <v>10500</v>
      </c>
      <c r="R17" s="4" t="s">
        <v>39</v>
      </c>
      <c r="S17" s="401" t="s">
        <v>224</v>
      </c>
      <c r="T17" s="308"/>
      <c r="U17" s="402" t="s">
        <v>176</v>
      </c>
      <c r="V17" s="403"/>
      <c r="W17" s="90">
        <v>1700</v>
      </c>
      <c r="X17" s="90">
        <v>1900</v>
      </c>
      <c r="Y17" s="90">
        <v>2100</v>
      </c>
      <c r="Z17" s="436" t="s">
        <v>272</v>
      </c>
      <c r="AA17" s="437"/>
      <c r="AB17" s="409" t="s">
        <v>73</v>
      </c>
      <c r="AC17" s="449"/>
      <c r="AD17" s="95">
        <v>1350</v>
      </c>
      <c r="AE17" s="95"/>
      <c r="AF17" s="95">
        <v>1700</v>
      </c>
      <c r="AI17" s="445" t="s">
        <v>77</v>
      </c>
      <c r="AJ17" s="445"/>
    </row>
    <row r="18" spans="1:36" ht="16.5" customHeight="1">
      <c r="A18" s="2" t="s">
        <v>12</v>
      </c>
      <c r="B18" s="318"/>
      <c r="C18" s="319"/>
      <c r="D18" s="319"/>
      <c r="E18" s="320"/>
      <c r="F18" s="273" t="s">
        <v>13</v>
      </c>
      <c r="G18" s="269"/>
      <c r="H18" s="318"/>
      <c r="I18" s="320"/>
      <c r="J18" s="169"/>
      <c r="K18" s="169"/>
      <c r="L18" s="531" t="s">
        <v>184</v>
      </c>
      <c r="M18" s="532"/>
      <c r="N18" s="533" t="s">
        <v>66</v>
      </c>
      <c r="O18" s="533"/>
      <c r="P18" s="168">
        <v>14000</v>
      </c>
      <c r="Q18" s="168">
        <v>15000</v>
      </c>
      <c r="R18" s="4" t="s">
        <v>39</v>
      </c>
      <c r="S18" s="401" t="s">
        <v>225</v>
      </c>
      <c r="T18" s="308"/>
      <c r="U18" s="402" t="s">
        <v>95</v>
      </c>
      <c r="V18" s="403"/>
      <c r="W18" s="90">
        <v>2000</v>
      </c>
      <c r="X18" s="90">
        <v>2200</v>
      </c>
      <c r="Y18" s="90">
        <v>2500</v>
      </c>
      <c r="Z18" s="436" t="s">
        <v>273</v>
      </c>
      <c r="AA18" s="437"/>
      <c r="AB18" s="429" t="s">
        <v>74</v>
      </c>
      <c r="AC18" s="447"/>
      <c r="AD18" s="95">
        <v>100</v>
      </c>
      <c r="AE18" s="95"/>
      <c r="AF18" s="95">
        <v>120</v>
      </c>
      <c r="AI18" s="445"/>
      <c r="AJ18" s="445"/>
    </row>
    <row r="19" spans="1:36" ht="16.5" customHeight="1">
      <c r="A19" s="49"/>
      <c r="B19" s="49"/>
      <c r="C19" s="49"/>
      <c r="D19" s="49"/>
      <c r="E19" s="49"/>
      <c r="F19" s="9"/>
      <c r="G19" s="9"/>
      <c r="H19" s="9"/>
      <c r="I19" s="304"/>
      <c r="J19" s="304"/>
      <c r="K19" s="11"/>
      <c r="L19" s="531" t="s">
        <v>185</v>
      </c>
      <c r="M19" s="532"/>
      <c r="N19" s="533" t="s">
        <v>206</v>
      </c>
      <c r="O19" s="533"/>
      <c r="P19" s="168">
        <v>9500</v>
      </c>
      <c r="Q19" s="168">
        <v>10500</v>
      </c>
      <c r="R19" s="4" t="s">
        <v>39</v>
      </c>
      <c r="S19" s="401" t="s">
        <v>226</v>
      </c>
      <c r="T19" s="308"/>
      <c r="U19" s="402" t="s">
        <v>96</v>
      </c>
      <c r="V19" s="403"/>
      <c r="W19" s="90">
        <v>45500</v>
      </c>
      <c r="X19" s="90">
        <v>50000</v>
      </c>
      <c r="Y19" s="90">
        <v>55200</v>
      </c>
      <c r="Z19" s="436" t="s">
        <v>274</v>
      </c>
      <c r="AA19" s="437"/>
      <c r="AB19" s="409" t="s">
        <v>75</v>
      </c>
      <c r="AC19" s="449"/>
      <c r="AD19" s="95">
        <v>260</v>
      </c>
      <c r="AE19" s="95"/>
      <c r="AF19" s="95">
        <v>320</v>
      </c>
      <c r="AI19" s="445"/>
      <c r="AJ19" s="445"/>
    </row>
    <row r="20" spans="1:36" ht="16.5" customHeight="1">
      <c r="A20" s="12" t="s">
        <v>14</v>
      </c>
      <c r="B20" s="459" t="s">
        <v>20</v>
      </c>
      <c r="C20" s="300"/>
      <c r="D20" s="300"/>
      <c r="E20" s="460"/>
      <c r="F20" s="5" t="s">
        <v>19</v>
      </c>
      <c r="G20" s="5" t="s">
        <v>18</v>
      </c>
      <c r="H20" s="5" t="s">
        <v>29</v>
      </c>
      <c r="I20" s="5" t="s">
        <v>16</v>
      </c>
      <c r="J20" s="5" t="s">
        <v>17</v>
      </c>
      <c r="K20" s="48"/>
      <c r="L20" s="531" t="s">
        <v>186</v>
      </c>
      <c r="M20" s="532"/>
      <c r="N20" s="533" t="s">
        <v>261</v>
      </c>
      <c r="O20" s="533"/>
      <c r="P20" s="168">
        <v>13000</v>
      </c>
      <c r="Q20" s="168">
        <v>14500</v>
      </c>
      <c r="R20" s="4" t="s">
        <v>39</v>
      </c>
      <c r="S20" s="421" t="s">
        <v>233</v>
      </c>
      <c r="T20" s="422"/>
      <c r="U20" s="415" t="s">
        <v>249</v>
      </c>
      <c r="V20" s="416"/>
      <c r="W20" s="90">
        <v>180</v>
      </c>
      <c r="X20" s="90">
        <v>220</v>
      </c>
      <c r="Y20" s="90">
        <v>250</v>
      </c>
      <c r="Z20" s="436" t="s">
        <v>275</v>
      </c>
      <c r="AA20" s="437"/>
      <c r="AB20" s="409" t="s">
        <v>76</v>
      </c>
      <c r="AC20" s="449"/>
      <c r="AD20" s="95">
        <v>210</v>
      </c>
      <c r="AE20" s="95"/>
      <c r="AF20" s="95">
        <v>250</v>
      </c>
      <c r="AI20" s="445"/>
      <c r="AJ20" s="445"/>
    </row>
    <row r="21" spans="1:36" ht="16.5" customHeight="1">
      <c r="A21" s="20"/>
      <c r="B21" s="398"/>
      <c r="C21" s="325"/>
      <c r="D21" s="325"/>
      <c r="E21" s="326"/>
      <c r="F21" s="16"/>
      <c r="G21" s="5"/>
      <c r="H21" s="17"/>
      <c r="I21" s="17"/>
      <c r="J21" s="21"/>
      <c r="K21" s="59"/>
      <c r="L21" s="531" t="s">
        <v>187</v>
      </c>
      <c r="M21" s="532"/>
      <c r="N21" s="533" t="s">
        <v>207</v>
      </c>
      <c r="O21" s="533"/>
      <c r="P21" s="168">
        <v>17000</v>
      </c>
      <c r="Q21" s="168">
        <v>18000</v>
      </c>
      <c r="R21" s="4" t="s">
        <v>85</v>
      </c>
      <c r="S21" s="401" t="s">
        <v>374</v>
      </c>
      <c r="T21" s="308"/>
      <c r="U21" s="402" t="s">
        <v>248</v>
      </c>
      <c r="V21" s="403"/>
      <c r="W21" s="90">
        <v>1000</v>
      </c>
      <c r="X21" s="90">
        <v>1300</v>
      </c>
      <c r="Y21" s="90">
        <v>1500</v>
      </c>
      <c r="Z21" s="436" t="s">
        <v>284</v>
      </c>
      <c r="AA21" s="437"/>
      <c r="AB21" s="429" t="s">
        <v>288</v>
      </c>
      <c r="AC21" s="447"/>
      <c r="AD21" s="95">
        <v>700</v>
      </c>
      <c r="AE21" s="95"/>
      <c r="AF21" s="95">
        <v>850</v>
      </c>
      <c r="AI21" s="445"/>
      <c r="AJ21" s="445"/>
    </row>
    <row r="22" spans="1:36" ht="16.5" customHeight="1">
      <c r="A22" s="20"/>
      <c r="B22" s="536"/>
      <c r="C22" s="537"/>
      <c r="D22" s="537"/>
      <c r="E22" s="538"/>
      <c r="F22" s="16"/>
      <c r="G22" s="16"/>
      <c r="H22" s="17"/>
      <c r="I22" s="17"/>
      <c r="J22" s="21"/>
      <c r="K22" s="11"/>
      <c r="L22" s="526" t="s">
        <v>914</v>
      </c>
      <c r="M22" s="527"/>
      <c r="N22" s="533" t="s">
        <v>62</v>
      </c>
      <c r="O22" s="533"/>
      <c r="P22" s="168">
        <v>700</v>
      </c>
      <c r="Q22" s="168">
        <v>750</v>
      </c>
      <c r="R22" s="4" t="s">
        <v>85</v>
      </c>
      <c r="S22" s="401" t="s">
        <v>375</v>
      </c>
      <c r="T22" s="308"/>
      <c r="U22" s="415" t="s">
        <v>248</v>
      </c>
      <c r="V22" s="416"/>
      <c r="W22" s="90">
        <v>1500</v>
      </c>
      <c r="X22" s="90">
        <v>1700</v>
      </c>
      <c r="Y22" s="90">
        <v>1800</v>
      </c>
      <c r="Z22" s="436" t="s">
        <v>276</v>
      </c>
      <c r="AA22" s="437"/>
      <c r="AB22" s="429" t="s">
        <v>68</v>
      </c>
      <c r="AC22" s="447"/>
      <c r="AD22" s="95">
        <v>200</v>
      </c>
      <c r="AE22" s="95"/>
      <c r="AF22" s="95">
        <v>250</v>
      </c>
      <c r="AI22" s="445" t="s">
        <v>78</v>
      </c>
      <c r="AJ22" s="445"/>
    </row>
    <row r="23" spans="1:36" ht="16.5" customHeight="1">
      <c r="A23" s="20"/>
      <c r="B23" s="536"/>
      <c r="C23" s="537"/>
      <c r="D23" s="537"/>
      <c r="E23" s="538"/>
      <c r="F23" s="16"/>
      <c r="G23" s="16"/>
      <c r="H23" s="17"/>
      <c r="I23" s="17"/>
      <c r="J23" s="16"/>
      <c r="K23" s="11"/>
      <c r="L23" s="530" t="s">
        <v>915</v>
      </c>
      <c r="M23" s="518"/>
      <c r="N23" s="528" t="s">
        <v>435</v>
      </c>
      <c r="O23" s="529"/>
      <c r="P23" s="168">
        <v>750</v>
      </c>
      <c r="Q23" s="168">
        <v>800</v>
      </c>
      <c r="R23" s="4" t="s">
        <v>85</v>
      </c>
      <c r="S23" s="401" t="s">
        <v>376</v>
      </c>
      <c r="T23" s="308"/>
      <c r="U23" s="402" t="s">
        <v>248</v>
      </c>
      <c r="V23" s="403"/>
      <c r="W23" s="90">
        <v>1800</v>
      </c>
      <c r="X23" s="90">
        <v>2200</v>
      </c>
      <c r="Y23" s="90">
        <v>2500</v>
      </c>
      <c r="Z23" s="436" t="s">
        <v>270</v>
      </c>
      <c r="AA23" s="437"/>
      <c r="AB23" s="429" t="s">
        <v>69</v>
      </c>
      <c r="AC23" s="447"/>
      <c r="AD23" s="95">
        <v>260</v>
      </c>
      <c r="AE23" s="95"/>
      <c r="AF23" s="95">
        <v>330</v>
      </c>
      <c r="AI23" s="445"/>
      <c r="AJ23" s="445"/>
    </row>
    <row r="24" spans="1:36" ht="16.5" customHeight="1">
      <c r="A24" s="20"/>
      <c r="B24" s="536"/>
      <c r="C24" s="537"/>
      <c r="D24" s="537"/>
      <c r="E24" s="538"/>
      <c r="F24" s="16"/>
      <c r="G24" s="16"/>
      <c r="H24" s="17"/>
      <c r="I24" s="17"/>
      <c r="J24" s="16"/>
      <c r="K24" s="11"/>
      <c r="L24" s="526" t="s">
        <v>916</v>
      </c>
      <c r="M24" s="527"/>
      <c r="N24" s="533" t="s">
        <v>63</v>
      </c>
      <c r="O24" s="533"/>
      <c r="P24" s="168">
        <v>700</v>
      </c>
      <c r="Q24" s="168">
        <v>750</v>
      </c>
      <c r="R24" s="4" t="s">
        <v>85</v>
      </c>
      <c r="S24" s="401" t="s">
        <v>377</v>
      </c>
      <c r="T24" s="308"/>
      <c r="U24" s="415" t="s">
        <v>248</v>
      </c>
      <c r="V24" s="416"/>
      <c r="W24" s="90">
        <v>2500</v>
      </c>
      <c r="X24" s="90">
        <v>3000</v>
      </c>
      <c r="Y24" s="90">
        <v>3500</v>
      </c>
      <c r="Z24" s="436" t="s">
        <v>277</v>
      </c>
      <c r="AA24" s="437"/>
      <c r="AB24" s="429" t="s">
        <v>70</v>
      </c>
      <c r="AC24" s="447"/>
      <c r="AD24" s="95">
        <v>1200</v>
      </c>
      <c r="AE24" s="95"/>
      <c r="AF24" s="95">
        <v>1500</v>
      </c>
      <c r="AI24" s="445"/>
      <c r="AJ24" s="445"/>
    </row>
    <row r="25" spans="1:36" ht="16.5" customHeight="1">
      <c r="A25" s="20"/>
      <c r="B25" s="536"/>
      <c r="C25" s="537"/>
      <c r="D25" s="537"/>
      <c r="E25" s="538"/>
      <c r="F25" s="16"/>
      <c r="G25" s="16"/>
      <c r="H25" s="17"/>
      <c r="I25" s="17"/>
      <c r="J25" s="10"/>
      <c r="K25" s="11"/>
      <c r="L25" s="530" t="s">
        <v>917</v>
      </c>
      <c r="M25" s="518"/>
      <c r="N25" s="528" t="s">
        <v>436</v>
      </c>
      <c r="O25" s="529"/>
      <c r="P25" s="168">
        <v>750</v>
      </c>
      <c r="Q25" s="168">
        <v>800</v>
      </c>
      <c r="R25" s="4" t="s">
        <v>85</v>
      </c>
      <c r="S25" s="401" t="s">
        <v>378</v>
      </c>
      <c r="T25" s="308"/>
      <c r="U25" s="402" t="s">
        <v>248</v>
      </c>
      <c r="V25" s="403"/>
      <c r="W25" s="90">
        <v>4500</v>
      </c>
      <c r="X25" s="90">
        <v>5500</v>
      </c>
      <c r="Y25" s="90">
        <v>6000</v>
      </c>
      <c r="Z25" s="436" t="s">
        <v>270</v>
      </c>
      <c r="AA25" s="437"/>
      <c r="AB25" s="429" t="s">
        <v>71</v>
      </c>
      <c r="AC25" s="447"/>
      <c r="AD25" s="95">
        <v>260</v>
      </c>
      <c r="AE25" s="95"/>
      <c r="AF25" s="95">
        <v>330</v>
      </c>
      <c r="AI25" s="445"/>
      <c r="AJ25" s="445"/>
    </row>
    <row r="26" spans="1:36" ht="16.5" customHeight="1">
      <c r="A26" s="20"/>
      <c r="B26" s="536"/>
      <c r="C26" s="537"/>
      <c r="D26" s="537"/>
      <c r="E26" s="538"/>
      <c r="F26" s="16"/>
      <c r="G26" s="16"/>
      <c r="H26" s="17"/>
      <c r="I26" s="17"/>
      <c r="J26" s="10"/>
      <c r="K26" s="11"/>
      <c r="L26" s="539" t="s">
        <v>190</v>
      </c>
      <c r="M26" s="518"/>
      <c r="N26" s="528" t="s">
        <v>64</v>
      </c>
      <c r="O26" s="529"/>
      <c r="P26" s="168">
        <v>500</v>
      </c>
      <c r="Q26" s="168">
        <v>550</v>
      </c>
      <c r="R26" s="4" t="s">
        <v>84</v>
      </c>
      <c r="S26" s="421" t="s">
        <v>227</v>
      </c>
      <c r="T26" s="422"/>
      <c r="U26" s="415" t="s">
        <v>354</v>
      </c>
      <c r="V26" s="416"/>
      <c r="W26" s="90">
        <v>1900</v>
      </c>
      <c r="X26" s="90">
        <v>2100</v>
      </c>
      <c r="Y26" s="90">
        <v>2300</v>
      </c>
      <c r="Z26" s="436" t="s">
        <v>278</v>
      </c>
      <c r="AA26" s="437"/>
      <c r="AB26" s="429" t="s">
        <v>72</v>
      </c>
      <c r="AC26" s="447"/>
      <c r="AD26" s="95">
        <v>800</v>
      </c>
      <c r="AE26" s="95"/>
      <c r="AF26" s="95">
        <v>1000</v>
      </c>
      <c r="AI26" s="445"/>
      <c r="AJ26" s="445"/>
    </row>
    <row r="27" spans="1:36" ht="16.5" customHeight="1">
      <c r="A27" s="20"/>
      <c r="B27" s="536"/>
      <c r="C27" s="537"/>
      <c r="D27" s="537"/>
      <c r="E27" s="538"/>
      <c r="F27" s="16"/>
      <c r="G27" s="16"/>
      <c r="H27" s="17"/>
      <c r="I27" s="17"/>
      <c r="J27" s="10"/>
      <c r="K27" s="11"/>
      <c r="L27" s="539" t="s">
        <v>918</v>
      </c>
      <c r="M27" s="540"/>
      <c r="N27" s="528" t="s">
        <v>437</v>
      </c>
      <c r="O27" s="529"/>
      <c r="P27" s="168">
        <v>550</v>
      </c>
      <c r="Q27" s="168">
        <v>600</v>
      </c>
      <c r="R27" s="4" t="s">
        <v>84</v>
      </c>
      <c r="S27" s="401" t="s">
        <v>228</v>
      </c>
      <c r="T27" s="308"/>
      <c r="U27" s="402" t="s">
        <v>354</v>
      </c>
      <c r="V27" s="403"/>
      <c r="W27" s="90">
        <v>1900</v>
      </c>
      <c r="X27" s="90">
        <v>2100</v>
      </c>
      <c r="Y27" s="90">
        <v>2300</v>
      </c>
      <c r="Z27" s="436" t="s">
        <v>279</v>
      </c>
      <c r="AA27" s="437"/>
      <c r="AB27" s="429" t="s">
        <v>80</v>
      </c>
      <c r="AC27" s="447"/>
      <c r="AD27" s="95"/>
      <c r="AE27" s="95"/>
      <c r="AF27" s="95"/>
      <c r="AI27" s="445" t="s">
        <v>79</v>
      </c>
      <c r="AJ27" s="445"/>
    </row>
    <row r="28" spans="1:36" ht="16.5" customHeight="1">
      <c r="A28" s="20"/>
      <c r="B28" s="536"/>
      <c r="C28" s="537"/>
      <c r="D28" s="537"/>
      <c r="E28" s="538"/>
      <c r="F28" s="16"/>
      <c r="G28" s="16"/>
      <c r="H28" s="17"/>
      <c r="I28" s="17"/>
      <c r="J28" s="10"/>
      <c r="K28" s="11"/>
      <c r="L28" s="539" t="s">
        <v>308</v>
      </c>
      <c r="M28" s="540"/>
      <c r="N28" s="528" t="s">
        <v>390</v>
      </c>
      <c r="O28" s="529"/>
      <c r="P28" s="168">
        <v>700</v>
      </c>
      <c r="Q28" s="168">
        <v>750</v>
      </c>
      <c r="R28" s="4" t="s">
        <v>84</v>
      </c>
      <c r="S28" s="421" t="s">
        <v>229</v>
      </c>
      <c r="T28" s="422"/>
      <c r="U28" s="415" t="s">
        <v>354</v>
      </c>
      <c r="V28" s="416"/>
      <c r="W28" s="90">
        <v>2000</v>
      </c>
      <c r="X28" s="90">
        <v>2200</v>
      </c>
      <c r="Y28" s="90">
        <v>2400</v>
      </c>
      <c r="Z28" s="436" t="s">
        <v>280</v>
      </c>
      <c r="AA28" s="437"/>
      <c r="AB28" s="429" t="s">
        <v>71</v>
      </c>
      <c r="AC28" s="447"/>
      <c r="AD28" s="95">
        <v>400</v>
      </c>
      <c r="AE28" s="95"/>
      <c r="AF28" s="95">
        <v>500</v>
      </c>
      <c r="AI28" s="445"/>
      <c r="AJ28" s="445"/>
    </row>
    <row r="29" spans="1:36" ht="16.5" customHeight="1">
      <c r="A29" s="20"/>
      <c r="B29" s="536"/>
      <c r="C29" s="537"/>
      <c r="D29" s="537"/>
      <c r="E29" s="538"/>
      <c r="F29" s="16"/>
      <c r="G29" s="16"/>
      <c r="H29" s="17"/>
      <c r="I29" s="17"/>
      <c r="J29" s="10"/>
      <c r="K29" s="11"/>
      <c r="L29" s="539" t="s">
        <v>919</v>
      </c>
      <c r="M29" s="540"/>
      <c r="N29" s="528" t="s">
        <v>390</v>
      </c>
      <c r="O29" s="529"/>
      <c r="P29" s="168">
        <v>700</v>
      </c>
      <c r="Q29" s="168">
        <v>750</v>
      </c>
      <c r="R29" s="4" t="s">
        <v>84</v>
      </c>
      <c r="S29" s="401" t="s">
        <v>230</v>
      </c>
      <c r="T29" s="308"/>
      <c r="U29" s="402" t="s">
        <v>97</v>
      </c>
      <c r="V29" s="403"/>
      <c r="W29" s="90">
        <v>650</v>
      </c>
      <c r="X29" s="90">
        <v>700</v>
      </c>
      <c r="Y29" s="90">
        <v>800</v>
      </c>
      <c r="Z29" s="436" t="s">
        <v>281</v>
      </c>
      <c r="AA29" s="437"/>
      <c r="AB29" s="429" t="s">
        <v>72</v>
      </c>
      <c r="AC29" s="447"/>
      <c r="AD29" s="95">
        <v>550</v>
      </c>
      <c r="AE29" s="95"/>
      <c r="AF29" s="95">
        <v>680</v>
      </c>
      <c r="AI29" s="445"/>
      <c r="AJ29" s="445"/>
    </row>
    <row r="30" spans="1:36" ht="16.5" customHeight="1">
      <c r="A30" s="20"/>
      <c r="B30" s="536"/>
      <c r="C30" s="537"/>
      <c r="D30" s="537"/>
      <c r="E30" s="538"/>
      <c r="F30" s="16"/>
      <c r="G30" s="16"/>
      <c r="H30" s="17"/>
      <c r="I30" s="17"/>
      <c r="J30" s="10"/>
      <c r="K30" s="11"/>
      <c r="L30" s="541" t="s">
        <v>418</v>
      </c>
      <c r="M30" s="527"/>
      <c r="N30" s="533" t="s">
        <v>65</v>
      </c>
      <c r="O30" s="533"/>
      <c r="P30" s="168">
        <v>2000</v>
      </c>
      <c r="Q30" s="168">
        <v>2300</v>
      </c>
      <c r="R30" s="4" t="s">
        <v>84</v>
      </c>
      <c r="S30" s="421" t="s">
        <v>231</v>
      </c>
      <c r="T30" s="422"/>
      <c r="U30" s="415" t="s">
        <v>98</v>
      </c>
      <c r="V30" s="416"/>
      <c r="W30" s="90">
        <v>500</v>
      </c>
      <c r="X30" s="90">
        <v>600</v>
      </c>
      <c r="Y30" s="90">
        <v>600</v>
      </c>
      <c r="Z30" s="436" t="s">
        <v>282</v>
      </c>
      <c r="AA30" s="437"/>
      <c r="AB30" s="429" t="s">
        <v>81</v>
      </c>
      <c r="AC30" s="447"/>
      <c r="AD30" s="95">
        <v>300</v>
      </c>
      <c r="AE30" s="95"/>
      <c r="AF30" s="95">
        <v>550</v>
      </c>
      <c r="AI30" s="445"/>
      <c r="AJ30" s="445"/>
    </row>
    <row r="31" spans="1:36" ht="16.5" customHeight="1">
      <c r="A31" s="202"/>
      <c r="B31" s="536"/>
      <c r="C31" s="537"/>
      <c r="D31" s="537"/>
      <c r="E31" s="538"/>
      <c r="F31" s="16"/>
      <c r="G31" s="16"/>
      <c r="H31" s="17"/>
      <c r="I31" s="17"/>
      <c r="J31" s="10"/>
      <c r="K31" s="11"/>
      <c r="L31" s="541" t="s">
        <v>419</v>
      </c>
      <c r="M31" s="527"/>
      <c r="N31" s="533" t="s">
        <v>65</v>
      </c>
      <c r="O31" s="533"/>
      <c r="P31" s="168">
        <v>2100</v>
      </c>
      <c r="Q31" s="168">
        <v>2400</v>
      </c>
      <c r="R31" s="4" t="s">
        <v>84</v>
      </c>
      <c r="S31" s="401" t="s">
        <v>232</v>
      </c>
      <c r="T31" s="308"/>
      <c r="U31" s="402" t="s">
        <v>98</v>
      </c>
      <c r="V31" s="403"/>
      <c r="W31" s="90">
        <v>500</v>
      </c>
      <c r="X31" s="90">
        <v>600</v>
      </c>
      <c r="Y31" s="90">
        <v>600</v>
      </c>
      <c r="Z31" s="436" t="s">
        <v>283</v>
      </c>
      <c r="AA31" s="437"/>
      <c r="AB31" s="429" t="s">
        <v>82</v>
      </c>
      <c r="AC31" s="447"/>
      <c r="AD31" s="95">
        <v>200</v>
      </c>
      <c r="AE31" s="95"/>
      <c r="AF31" s="95"/>
      <c r="AI31" s="445"/>
      <c r="AJ31" s="445"/>
    </row>
    <row r="32" spans="1:36" ht="16.5" customHeight="1">
      <c r="A32" s="202"/>
      <c r="B32" s="255"/>
      <c r="C32" s="256"/>
      <c r="D32" s="256"/>
      <c r="E32" s="378"/>
      <c r="F32" s="16"/>
      <c r="G32" s="16"/>
      <c r="H32" s="17"/>
      <c r="I32" s="17"/>
      <c r="J32" s="10"/>
      <c r="K32" s="11"/>
      <c r="L32" s="541" t="s">
        <v>420</v>
      </c>
      <c r="M32" s="527"/>
      <c r="N32" s="533" t="s">
        <v>65</v>
      </c>
      <c r="O32" s="533"/>
      <c r="P32" s="168">
        <v>2200</v>
      </c>
      <c r="Q32" s="168">
        <v>2500</v>
      </c>
      <c r="R32" s="7" t="s">
        <v>83</v>
      </c>
      <c r="S32" s="401" t="s">
        <v>320</v>
      </c>
      <c r="T32" s="308"/>
      <c r="U32" s="402" t="s">
        <v>321</v>
      </c>
      <c r="V32" s="403"/>
      <c r="W32" s="90">
        <v>2100</v>
      </c>
      <c r="X32" s="90">
        <v>2400</v>
      </c>
      <c r="Y32" s="90">
        <v>2600</v>
      </c>
      <c r="Z32" s="436" t="s">
        <v>372</v>
      </c>
      <c r="AA32" s="437"/>
      <c r="AB32" s="429" t="s">
        <v>81</v>
      </c>
      <c r="AC32" s="447"/>
      <c r="AD32" s="96"/>
      <c r="AE32" s="95"/>
      <c r="AF32" s="95"/>
      <c r="AI32" s="445"/>
      <c r="AJ32" s="445"/>
    </row>
    <row r="33" spans="1:36" ht="16.5" customHeight="1">
      <c r="A33" s="202"/>
      <c r="B33" s="459"/>
      <c r="C33" s="300"/>
      <c r="D33" s="300"/>
      <c r="E33" s="460"/>
      <c r="F33" s="16"/>
      <c r="G33" s="16"/>
      <c r="H33" s="17"/>
      <c r="I33" s="17"/>
      <c r="J33" s="10"/>
      <c r="K33" s="11"/>
      <c r="L33" s="541" t="s">
        <v>421</v>
      </c>
      <c r="M33" s="527"/>
      <c r="N33" s="533" t="s">
        <v>65</v>
      </c>
      <c r="O33" s="533"/>
      <c r="P33" s="168">
        <v>2200</v>
      </c>
      <c r="Q33" s="168">
        <v>2500</v>
      </c>
      <c r="R33" s="4" t="s">
        <v>84</v>
      </c>
      <c r="S33" s="401" t="s">
        <v>234</v>
      </c>
      <c r="T33" s="308"/>
      <c r="U33" s="402" t="s">
        <v>250</v>
      </c>
      <c r="V33" s="403"/>
      <c r="W33" s="90">
        <v>2500</v>
      </c>
      <c r="X33" s="90">
        <v>2700</v>
      </c>
      <c r="Y33" s="90">
        <v>3000</v>
      </c>
      <c r="Z33" s="436" t="s">
        <v>287</v>
      </c>
      <c r="AA33" s="437"/>
      <c r="AB33" s="429" t="s">
        <v>288</v>
      </c>
      <c r="AC33" s="447"/>
      <c r="AD33" s="96">
        <v>700</v>
      </c>
      <c r="AE33" s="95"/>
      <c r="AF33" s="95">
        <v>850</v>
      </c>
      <c r="AI33" s="445"/>
      <c r="AJ33" s="445"/>
    </row>
    <row r="34" spans="1:36" ht="16.5" customHeight="1">
      <c r="A34" s="13"/>
      <c r="B34" s="459"/>
      <c r="C34" s="300"/>
      <c r="D34" s="300"/>
      <c r="E34" s="460"/>
      <c r="F34" s="16"/>
      <c r="G34" s="16"/>
      <c r="H34" s="17"/>
      <c r="I34" s="17"/>
      <c r="J34" s="10"/>
      <c r="K34" s="11"/>
      <c r="L34" s="541" t="s">
        <v>422</v>
      </c>
      <c r="M34" s="527"/>
      <c r="N34" s="533" t="s">
        <v>65</v>
      </c>
      <c r="O34" s="533"/>
      <c r="P34" s="168">
        <v>2300</v>
      </c>
      <c r="Q34" s="168">
        <v>2600</v>
      </c>
      <c r="R34" s="4" t="s">
        <v>84</v>
      </c>
      <c r="S34" s="421" t="s">
        <v>235</v>
      </c>
      <c r="T34" s="422"/>
      <c r="U34" s="415" t="s">
        <v>250</v>
      </c>
      <c r="V34" s="416"/>
      <c r="W34" s="90">
        <v>2500</v>
      </c>
      <c r="X34" s="90">
        <v>2700</v>
      </c>
      <c r="Y34" s="90">
        <v>3000</v>
      </c>
      <c r="Z34" s="436" t="s">
        <v>345</v>
      </c>
      <c r="AA34" s="437"/>
      <c r="AB34" s="405" t="s">
        <v>74</v>
      </c>
      <c r="AC34" s="446"/>
      <c r="AD34" s="96">
        <v>300</v>
      </c>
      <c r="AE34" s="95"/>
      <c r="AF34" s="95"/>
      <c r="AI34" s="445"/>
      <c r="AJ34" s="445"/>
    </row>
    <row r="35" spans="1:36" ht="16.5" customHeight="1">
      <c r="A35" s="13"/>
      <c r="B35" s="262"/>
      <c r="C35" s="263"/>
      <c r="D35" s="300"/>
      <c r="E35" s="460"/>
      <c r="F35" s="16"/>
      <c r="G35" s="16"/>
      <c r="H35" s="17"/>
      <c r="I35" s="17"/>
      <c r="J35" s="10"/>
      <c r="K35" s="11"/>
      <c r="L35" s="541" t="s">
        <v>423</v>
      </c>
      <c r="M35" s="527"/>
      <c r="N35" s="533" t="s">
        <v>65</v>
      </c>
      <c r="O35" s="533"/>
      <c r="P35" s="168">
        <v>2200</v>
      </c>
      <c r="Q35" s="168">
        <v>2500</v>
      </c>
      <c r="R35" s="4" t="s">
        <v>84</v>
      </c>
      <c r="S35" s="401" t="s">
        <v>236</v>
      </c>
      <c r="T35" s="308"/>
      <c r="U35" s="402" t="s">
        <v>250</v>
      </c>
      <c r="V35" s="403"/>
      <c r="W35" s="90">
        <v>2500</v>
      </c>
      <c r="X35" s="90">
        <v>2800</v>
      </c>
      <c r="Y35" s="90">
        <v>3000</v>
      </c>
      <c r="Z35" s="436" t="s">
        <v>286</v>
      </c>
      <c r="AA35" s="437"/>
      <c r="AB35" s="405"/>
      <c r="AC35" s="446"/>
      <c r="AD35" s="96">
        <v>500</v>
      </c>
      <c r="AE35" s="95"/>
      <c r="AF35" s="95">
        <v>600</v>
      </c>
      <c r="AI35" s="445"/>
      <c r="AJ35" s="445"/>
    </row>
    <row r="36" spans="1:36" ht="16.5" customHeight="1">
      <c r="A36" s="13"/>
      <c r="B36" s="262"/>
      <c r="C36" s="263"/>
      <c r="D36" s="300"/>
      <c r="E36" s="460"/>
      <c r="F36" s="16"/>
      <c r="G36" s="16"/>
      <c r="H36" s="17"/>
      <c r="I36" s="17"/>
      <c r="J36" s="10"/>
      <c r="K36" s="11"/>
      <c r="L36" s="541" t="s">
        <v>191</v>
      </c>
      <c r="M36" s="527"/>
      <c r="N36" s="533" t="s">
        <v>208</v>
      </c>
      <c r="O36" s="533"/>
      <c r="P36" s="168">
        <v>250</v>
      </c>
      <c r="Q36" s="168">
        <v>250</v>
      </c>
      <c r="R36" s="4" t="s">
        <v>85</v>
      </c>
      <c r="S36" s="421" t="s">
        <v>237</v>
      </c>
      <c r="T36" s="422"/>
      <c r="U36" s="415" t="s">
        <v>250</v>
      </c>
      <c r="V36" s="416"/>
      <c r="W36" s="90">
        <v>2600</v>
      </c>
      <c r="X36" s="90">
        <v>2900</v>
      </c>
      <c r="Y36" s="90">
        <v>3200</v>
      </c>
      <c r="Z36" s="436" t="s">
        <v>316</v>
      </c>
      <c r="AA36" s="437"/>
      <c r="AB36" s="428" t="s">
        <v>317</v>
      </c>
      <c r="AC36" s="429"/>
      <c r="AD36" s="96">
        <v>300</v>
      </c>
      <c r="AE36" s="95"/>
      <c r="AF36" s="95">
        <v>400</v>
      </c>
      <c r="AI36" s="445"/>
      <c r="AJ36" s="445"/>
    </row>
    <row r="37" spans="1:36" ht="16.5" customHeight="1">
      <c r="A37" s="13"/>
      <c r="B37" s="459"/>
      <c r="C37" s="300"/>
      <c r="D37" s="300"/>
      <c r="E37" s="460"/>
      <c r="F37" s="16"/>
      <c r="G37" s="16"/>
      <c r="H37" s="17"/>
      <c r="I37" s="17"/>
      <c r="J37" s="10"/>
      <c r="K37" s="11"/>
      <c r="L37" s="541" t="s">
        <v>192</v>
      </c>
      <c r="M37" s="527"/>
      <c r="N37" s="533" t="s">
        <v>209</v>
      </c>
      <c r="O37" s="533"/>
      <c r="P37" s="168">
        <v>2500</v>
      </c>
      <c r="Q37" s="168">
        <v>3000</v>
      </c>
      <c r="R37" s="4" t="s">
        <v>85</v>
      </c>
      <c r="S37" s="401" t="s">
        <v>238</v>
      </c>
      <c r="T37" s="308"/>
      <c r="U37" s="402" t="s">
        <v>250</v>
      </c>
      <c r="V37" s="403"/>
      <c r="W37" s="90">
        <v>2700</v>
      </c>
      <c r="X37" s="90">
        <v>3000</v>
      </c>
      <c r="Y37" s="90">
        <v>3300</v>
      </c>
      <c r="Z37" s="436" t="s">
        <v>289</v>
      </c>
      <c r="AA37" s="437"/>
      <c r="AB37" s="429" t="s">
        <v>315</v>
      </c>
      <c r="AC37" s="447"/>
      <c r="AD37" s="96">
        <v>350</v>
      </c>
      <c r="AE37" s="95"/>
      <c r="AF37" s="95">
        <v>450</v>
      </c>
      <c r="AI37" s="445"/>
      <c r="AJ37" s="445"/>
    </row>
    <row r="38" spans="1:36" ht="16.5" customHeight="1">
      <c r="A38" s="13"/>
      <c r="B38" s="459"/>
      <c r="C38" s="300"/>
      <c r="D38" s="300"/>
      <c r="E38" s="460"/>
      <c r="F38" s="16"/>
      <c r="G38" s="16"/>
      <c r="H38" s="17"/>
      <c r="I38" s="17"/>
      <c r="J38" s="10"/>
      <c r="K38" s="11"/>
      <c r="L38" s="541" t="s">
        <v>193</v>
      </c>
      <c r="M38" s="527"/>
      <c r="N38" s="533" t="s">
        <v>209</v>
      </c>
      <c r="O38" s="533"/>
      <c r="P38" s="168">
        <v>6500</v>
      </c>
      <c r="Q38" s="168">
        <v>7500</v>
      </c>
      <c r="R38" s="4" t="s">
        <v>84</v>
      </c>
      <c r="S38" s="421" t="s">
        <v>239</v>
      </c>
      <c r="T38" s="422"/>
      <c r="U38" s="415" t="s">
        <v>250</v>
      </c>
      <c r="V38" s="416"/>
      <c r="W38" s="90">
        <v>2800</v>
      </c>
      <c r="X38" s="90">
        <v>3100</v>
      </c>
      <c r="Y38" s="90">
        <v>3320</v>
      </c>
      <c r="Z38" s="436" t="s">
        <v>285</v>
      </c>
      <c r="AA38" s="437"/>
      <c r="AB38" s="405"/>
      <c r="AC38" s="446"/>
      <c r="AD38" s="96">
        <v>600</v>
      </c>
      <c r="AE38" s="95"/>
      <c r="AF38" s="95">
        <v>750</v>
      </c>
    </row>
    <row r="39" spans="1:36" ht="16.5" customHeight="1">
      <c r="A39" s="13"/>
      <c r="B39" s="459"/>
      <c r="C39" s="300"/>
      <c r="D39" s="300"/>
      <c r="E39" s="460"/>
      <c r="F39" s="273" t="s">
        <v>31</v>
      </c>
      <c r="G39" s="269"/>
      <c r="H39" s="17"/>
      <c r="I39" s="17">
        <f>SUM(I21:I26)</f>
        <v>0</v>
      </c>
      <c r="J39" s="10"/>
      <c r="K39" s="11"/>
      <c r="L39" s="541" t="s">
        <v>194</v>
      </c>
      <c r="M39" s="527"/>
      <c r="N39" s="533" t="s">
        <v>209</v>
      </c>
      <c r="O39" s="533"/>
      <c r="P39" s="168">
        <v>12500</v>
      </c>
      <c r="Q39" s="168">
        <v>14000</v>
      </c>
      <c r="R39" s="4" t="s">
        <v>85</v>
      </c>
      <c r="S39" s="401" t="s">
        <v>240</v>
      </c>
      <c r="T39" s="308"/>
      <c r="U39" s="402" t="s">
        <v>251</v>
      </c>
      <c r="V39" s="403"/>
      <c r="W39" s="90">
        <v>2800</v>
      </c>
      <c r="X39" s="90">
        <v>3100</v>
      </c>
      <c r="Y39" s="90">
        <v>3400</v>
      </c>
      <c r="Z39" s="441" t="s">
        <v>308</v>
      </c>
      <c r="AA39" s="442"/>
      <c r="AB39" s="443" t="s">
        <v>64</v>
      </c>
      <c r="AC39" s="443"/>
      <c r="AD39" s="96"/>
      <c r="AE39" s="95">
        <v>650</v>
      </c>
      <c r="AF39" s="95"/>
    </row>
    <row r="40" spans="1:36" ht="16.5" customHeight="1">
      <c r="A40" s="262" t="s">
        <v>32</v>
      </c>
      <c r="B40" s="263"/>
      <c r="C40" s="263"/>
      <c r="D40" s="263"/>
      <c r="E40" s="263"/>
      <c r="F40" s="263"/>
      <c r="G40" s="263"/>
      <c r="H40" s="263"/>
      <c r="I40" s="263"/>
      <c r="J40" s="264"/>
      <c r="K40" s="11"/>
      <c r="L40" s="541" t="s">
        <v>195</v>
      </c>
      <c r="M40" s="527"/>
      <c r="N40" s="533" t="s">
        <v>210</v>
      </c>
      <c r="O40" s="533"/>
      <c r="P40" s="168">
        <v>250</v>
      </c>
      <c r="Q40" s="168">
        <v>300</v>
      </c>
      <c r="R40" s="4" t="s">
        <v>39</v>
      </c>
      <c r="S40" s="421" t="s">
        <v>241</v>
      </c>
      <c r="T40" s="422"/>
      <c r="U40" s="415" t="s">
        <v>251</v>
      </c>
      <c r="V40" s="416"/>
      <c r="W40" s="90">
        <v>2800</v>
      </c>
      <c r="X40" s="90">
        <v>3100</v>
      </c>
      <c r="Y40" s="90">
        <v>3400</v>
      </c>
      <c r="Z40" s="438" t="s">
        <v>309</v>
      </c>
      <c r="AA40" s="439"/>
      <c r="AB40" s="408" t="s">
        <v>310</v>
      </c>
      <c r="AC40" s="409"/>
      <c r="AD40" s="96"/>
      <c r="AE40" s="95">
        <v>360</v>
      </c>
      <c r="AF40" s="95"/>
    </row>
    <row r="41" spans="1:36" ht="16.5" customHeight="1">
      <c r="A41" s="265" t="s">
        <v>926</v>
      </c>
      <c r="B41" s="266"/>
      <c r="C41" s="266"/>
      <c r="D41" s="266"/>
      <c r="E41" s="266"/>
      <c r="F41" s="266"/>
      <c r="G41" s="266"/>
      <c r="H41" s="266"/>
      <c r="I41" s="266"/>
      <c r="J41" s="267"/>
      <c r="K41" s="11"/>
      <c r="L41" s="541" t="s">
        <v>196</v>
      </c>
      <c r="M41" s="527"/>
      <c r="N41" s="528" t="s">
        <v>211</v>
      </c>
      <c r="O41" s="529"/>
      <c r="P41" s="168">
        <v>50</v>
      </c>
      <c r="Q41" s="168">
        <v>50</v>
      </c>
      <c r="R41" s="4" t="s">
        <v>84</v>
      </c>
      <c r="S41" s="401" t="s">
        <v>242</v>
      </c>
      <c r="T41" s="308"/>
      <c r="U41" s="402" t="s">
        <v>252</v>
      </c>
      <c r="V41" s="403"/>
      <c r="W41" s="90">
        <v>2700</v>
      </c>
      <c r="X41" s="90">
        <v>3000</v>
      </c>
      <c r="Y41" s="90">
        <v>3300</v>
      </c>
      <c r="Z41" s="436" t="s">
        <v>365</v>
      </c>
      <c r="AA41" s="437"/>
      <c r="AB41" s="405" t="s">
        <v>74</v>
      </c>
      <c r="AC41" s="446"/>
      <c r="AD41" s="96">
        <v>200</v>
      </c>
      <c r="AE41" s="95">
        <v>250</v>
      </c>
      <c r="AF41" s="95">
        <v>300</v>
      </c>
    </row>
    <row r="42" spans="1:36" ht="16.5" customHeight="1">
      <c r="A42" s="287" t="s">
        <v>927</v>
      </c>
      <c r="B42" s="257"/>
      <c r="C42" s="257"/>
      <c r="D42" s="257"/>
      <c r="E42" s="257"/>
      <c r="F42" s="257"/>
      <c r="G42" s="257"/>
      <c r="H42" s="257"/>
      <c r="I42" s="257"/>
      <c r="J42" s="258"/>
      <c r="K42" s="11"/>
      <c r="L42" s="541" t="s">
        <v>197</v>
      </c>
      <c r="M42" s="527"/>
      <c r="N42" s="533" t="s">
        <v>212</v>
      </c>
      <c r="O42" s="533"/>
      <c r="P42" s="170">
        <v>1000</v>
      </c>
      <c r="Q42" s="168">
        <v>1200</v>
      </c>
      <c r="R42" s="4" t="s">
        <v>85</v>
      </c>
      <c r="S42" s="421" t="s">
        <v>243</v>
      </c>
      <c r="T42" s="422"/>
      <c r="U42" s="415" t="s">
        <v>252</v>
      </c>
      <c r="V42" s="416"/>
      <c r="W42" s="90">
        <v>2700</v>
      </c>
      <c r="X42" s="90">
        <v>3000</v>
      </c>
      <c r="Y42" s="90">
        <v>3300</v>
      </c>
      <c r="Z42" s="438" t="s">
        <v>358</v>
      </c>
      <c r="AA42" s="439"/>
      <c r="AB42" s="408" t="s">
        <v>252</v>
      </c>
      <c r="AC42" s="409"/>
      <c r="AD42" s="95">
        <v>2700</v>
      </c>
      <c r="AE42" s="95">
        <v>3000</v>
      </c>
      <c r="AF42" s="95">
        <v>3300</v>
      </c>
    </row>
    <row r="43" spans="1:36" ht="16.5" customHeight="1">
      <c r="A43" s="543" t="s">
        <v>928</v>
      </c>
      <c r="B43" s="544"/>
      <c r="C43" s="544"/>
      <c r="D43" s="544"/>
      <c r="E43" s="544"/>
      <c r="F43" s="544"/>
      <c r="G43" s="544"/>
      <c r="H43" s="544"/>
      <c r="I43" s="544"/>
      <c r="J43" s="545"/>
      <c r="K43" s="11"/>
      <c r="L43" s="541" t="s">
        <v>198</v>
      </c>
      <c r="M43" s="527"/>
      <c r="N43" s="542" t="s">
        <v>174</v>
      </c>
      <c r="O43" s="542"/>
      <c r="P43" s="171">
        <v>300</v>
      </c>
      <c r="Q43" s="172">
        <v>400</v>
      </c>
      <c r="R43" s="4" t="s">
        <v>85</v>
      </c>
      <c r="S43" s="401" t="s">
        <v>244</v>
      </c>
      <c r="T43" s="308"/>
      <c r="U43" s="402" t="s">
        <v>253</v>
      </c>
      <c r="V43" s="403"/>
      <c r="W43" s="90">
        <v>9500</v>
      </c>
      <c r="X43" s="90">
        <v>11000</v>
      </c>
      <c r="Y43" s="90">
        <v>12000</v>
      </c>
      <c r="Z43" s="404"/>
      <c r="AA43" s="405"/>
      <c r="AB43" s="405"/>
      <c r="AC43" s="446"/>
      <c r="AD43" s="97"/>
      <c r="AE43" s="97"/>
      <c r="AF43" s="97"/>
    </row>
    <row r="44" spans="1:36" ht="16.5" customHeight="1">
      <c r="A44" s="262" t="s">
        <v>920</v>
      </c>
      <c r="B44" s="263"/>
      <c r="C44" s="263"/>
      <c r="D44" s="263"/>
      <c r="E44" s="263"/>
      <c r="F44" s="263"/>
      <c r="G44" s="263"/>
      <c r="H44" s="263"/>
      <c r="I44" s="263"/>
      <c r="J44" s="264"/>
      <c r="K44" s="11"/>
      <c r="L44" s="541" t="s">
        <v>199</v>
      </c>
      <c r="M44" s="527"/>
      <c r="N44" s="542" t="s">
        <v>86</v>
      </c>
      <c r="O44" s="542"/>
      <c r="P44" s="173">
        <v>17000</v>
      </c>
      <c r="Q44" s="172">
        <v>20000</v>
      </c>
      <c r="R44" s="4" t="s">
        <v>85</v>
      </c>
      <c r="S44" s="401" t="s">
        <v>245</v>
      </c>
      <c r="T44" s="308"/>
      <c r="U44" s="402" t="s">
        <v>254</v>
      </c>
      <c r="V44" s="403"/>
      <c r="W44" s="90">
        <v>650</v>
      </c>
      <c r="X44" s="90">
        <v>750</v>
      </c>
      <c r="Y44" s="90">
        <v>800</v>
      </c>
      <c r="Z44" s="404"/>
      <c r="AA44" s="405"/>
      <c r="AB44" s="405"/>
      <c r="AC44" s="446"/>
      <c r="AD44" s="96"/>
      <c r="AE44" s="95"/>
      <c r="AF44" s="95"/>
    </row>
    <row r="45" spans="1:36" ht="16.5" customHeight="1">
      <c r="A45" s="265" t="s">
        <v>921</v>
      </c>
      <c r="B45" s="266"/>
      <c r="C45" s="266"/>
      <c r="D45" s="266"/>
      <c r="E45" s="266"/>
      <c r="F45" s="266"/>
      <c r="G45" s="266"/>
      <c r="H45" s="266"/>
      <c r="I45" s="266"/>
      <c r="J45" s="267"/>
      <c r="K45" s="86"/>
      <c r="L45" s="541" t="s">
        <v>200</v>
      </c>
      <c r="M45" s="527"/>
      <c r="N45" s="542" t="s">
        <v>213</v>
      </c>
      <c r="O45" s="542"/>
      <c r="P45" s="173">
        <v>3500</v>
      </c>
      <c r="Q45" s="172">
        <v>4200</v>
      </c>
      <c r="R45" s="4" t="s">
        <v>85</v>
      </c>
      <c r="S45" s="421" t="s">
        <v>246</v>
      </c>
      <c r="T45" s="422"/>
      <c r="U45" s="415" t="s">
        <v>255</v>
      </c>
      <c r="V45" s="416"/>
      <c r="W45" s="90">
        <v>100</v>
      </c>
      <c r="X45" s="90">
        <v>135</v>
      </c>
      <c r="Y45" s="90">
        <v>135</v>
      </c>
      <c r="Z45" s="436" t="s">
        <v>337</v>
      </c>
      <c r="AA45" s="437"/>
      <c r="AB45" s="429" t="s">
        <v>339</v>
      </c>
      <c r="AC45" s="447"/>
      <c r="AD45" s="96">
        <v>550</v>
      </c>
      <c r="AE45" s="95"/>
      <c r="AF45" s="95">
        <v>700</v>
      </c>
    </row>
    <row r="46" spans="1:36" ht="16.5" customHeight="1">
      <c r="A46" s="287" t="s">
        <v>922</v>
      </c>
      <c r="B46" s="257"/>
      <c r="C46" s="257"/>
      <c r="D46" s="257"/>
      <c r="E46" s="257"/>
      <c r="F46" s="257"/>
      <c r="G46" s="257"/>
      <c r="H46" s="257"/>
      <c r="I46" s="257"/>
      <c r="J46" s="258"/>
      <c r="K46" s="86"/>
      <c r="L46" s="541" t="s">
        <v>201</v>
      </c>
      <c r="M46" s="527"/>
      <c r="N46" s="542" t="s">
        <v>87</v>
      </c>
      <c r="O46" s="542"/>
      <c r="P46" s="173">
        <v>1800</v>
      </c>
      <c r="Q46" s="172">
        <v>2000</v>
      </c>
      <c r="R46" s="4"/>
      <c r="S46" s="401" t="s">
        <v>247</v>
      </c>
      <c r="T46" s="308"/>
      <c r="U46" s="402" t="s">
        <v>256</v>
      </c>
      <c r="V46" s="403"/>
      <c r="W46" s="90">
        <v>700</v>
      </c>
      <c r="X46" s="90">
        <v>800</v>
      </c>
      <c r="Y46" s="90">
        <v>850</v>
      </c>
      <c r="Z46" s="436" t="s">
        <v>338</v>
      </c>
      <c r="AA46" s="437"/>
      <c r="AB46" s="429" t="s">
        <v>340</v>
      </c>
      <c r="AC46" s="447"/>
      <c r="AD46" s="96">
        <v>450</v>
      </c>
      <c r="AE46" s="95"/>
      <c r="AF46" s="95">
        <v>550</v>
      </c>
    </row>
    <row r="47" spans="1:36" ht="16.5" customHeight="1">
      <c r="A47" s="288" t="s">
        <v>923</v>
      </c>
      <c r="B47" s="288"/>
      <c r="C47" s="288"/>
      <c r="D47" s="288"/>
      <c r="E47" s="288"/>
      <c r="F47" s="288"/>
      <c r="G47" s="288"/>
      <c r="H47" s="288"/>
      <c r="I47" s="288"/>
      <c r="J47" s="288"/>
      <c r="K47" s="59"/>
      <c r="L47" s="541" t="s">
        <v>202</v>
      </c>
      <c r="M47" s="527"/>
      <c r="N47" s="542" t="s">
        <v>88</v>
      </c>
      <c r="O47" s="542"/>
      <c r="P47" s="173">
        <v>2200</v>
      </c>
      <c r="Q47" s="172">
        <v>2500</v>
      </c>
      <c r="R47" s="4"/>
      <c r="S47" s="401" t="s">
        <v>263</v>
      </c>
      <c r="T47" s="308"/>
      <c r="U47" s="402" t="s">
        <v>250</v>
      </c>
      <c r="V47" s="403"/>
      <c r="W47" s="6">
        <v>2100</v>
      </c>
      <c r="X47" s="6">
        <v>2400</v>
      </c>
      <c r="Y47" s="6">
        <v>2600</v>
      </c>
      <c r="Z47" s="441" t="s">
        <v>311</v>
      </c>
      <c r="AA47" s="442"/>
      <c r="AB47" s="443" t="s">
        <v>312</v>
      </c>
      <c r="AC47" s="443"/>
      <c r="AD47" s="97"/>
      <c r="AE47" s="97"/>
      <c r="AF47" s="97"/>
    </row>
    <row r="48" spans="1:36" ht="16.5" customHeight="1">
      <c r="A48" s="288" t="s">
        <v>924</v>
      </c>
      <c r="B48" s="288"/>
      <c r="C48" s="288"/>
      <c r="D48" s="288"/>
      <c r="E48" s="288"/>
      <c r="F48" s="288"/>
      <c r="G48" s="288"/>
      <c r="H48" s="288"/>
      <c r="I48" s="288"/>
      <c r="J48" s="288"/>
      <c r="K48" s="69"/>
      <c r="L48" s="541" t="s">
        <v>203</v>
      </c>
      <c r="M48" s="527"/>
      <c r="N48" s="542" t="s">
        <v>89</v>
      </c>
      <c r="O48" s="542"/>
      <c r="P48" s="173">
        <v>1800</v>
      </c>
      <c r="Q48" s="172">
        <v>2000</v>
      </c>
      <c r="R48" s="91"/>
      <c r="S48" s="92"/>
      <c r="T48" s="92"/>
      <c r="U48" s="53"/>
      <c r="V48" s="53"/>
      <c r="Z48" s="300" t="s">
        <v>38</v>
      </c>
      <c r="AA48" s="300"/>
      <c r="AB48" s="300"/>
      <c r="AC48" s="300"/>
      <c r="AD48" s="300"/>
      <c r="AE48" s="440"/>
      <c r="AF48" s="440"/>
    </row>
    <row r="49" spans="1:22" ht="16.5" customHeight="1">
      <c r="A49" s="288" t="s">
        <v>925</v>
      </c>
      <c r="B49" s="288"/>
      <c r="C49" s="288"/>
      <c r="D49" s="288"/>
      <c r="E49" s="288"/>
      <c r="F49" s="288"/>
      <c r="G49" s="288"/>
      <c r="H49" s="288"/>
      <c r="I49" s="288"/>
      <c r="J49" s="288"/>
      <c r="K49" s="69"/>
      <c r="L49" s="464" t="s">
        <v>204</v>
      </c>
      <c r="M49" s="414"/>
      <c r="N49" s="546" t="s">
        <v>214</v>
      </c>
      <c r="O49" s="546"/>
      <c r="P49" s="17">
        <v>200</v>
      </c>
      <c r="Q49" s="41">
        <v>200</v>
      </c>
      <c r="R49" s="91"/>
      <c r="S49" s="91"/>
      <c r="T49" s="91"/>
      <c r="V49" s="53"/>
    </row>
  </sheetData>
  <mergeCells count="318">
    <mergeCell ref="AB47:AC47"/>
    <mergeCell ref="A48:J48"/>
    <mergeCell ref="L48:M48"/>
    <mergeCell ref="N48:O48"/>
    <mergeCell ref="Z48:AF48"/>
    <mergeCell ref="A49:J49"/>
    <mergeCell ref="L49:M49"/>
    <mergeCell ref="N49:O49"/>
    <mergeCell ref="A47:J47"/>
    <mergeCell ref="L47:M47"/>
    <mergeCell ref="N47:O47"/>
    <mergeCell ref="S47:T47"/>
    <mergeCell ref="U47:V47"/>
    <mergeCell ref="Z47:AA47"/>
    <mergeCell ref="AB45:AC45"/>
    <mergeCell ref="A46:J46"/>
    <mergeCell ref="L46:M46"/>
    <mergeCell ref="N46:O46"/>
    <mergeCell ref="S46:T46"/>
    <mergeCell ref="U46:V46"/>
    <mergeCell ref="Z46:AA46"/>
    <mergeCell ref="AB46:AC46"/>
    <mergeCell ref="A45:J45"/>
    <mergeCell ref="L45:M45"/>
    <mergeCell ref="N45:O45"/>
    <mergeCell ref="S45:T45"/>
    <mergeCell ref="U45:V45"/>
    <mergeCell ref="Z45:AA45"/>
    <mergeCell ref="AB43:AC43"/>
    <mergeCell ref="A44:J44"/>
    <mergeCell ref="L44:M44"/>
    <mergeCell ref="N44:O44"/>
    <mergeCell ref="S44:T44"/>
    <mergeCell ref="U44:V44"/>
    <mergeCell ref="Z44:AA44"/>
    <mergeCell ref="AB44:AC44"/>
    <mergeCell ref="A43:J43"/>
    <mergeCell ref="L43:M43"/>
    <mergeCell ref="N43:O43"/>
    <mergeCell ref="S43:T43"/>
    <mergeCell ref="U43:V43"/>
    <mergeCell ref="Z43:AA43"/>
    <mergeCell ref="AB41:AC41"/>
    <mergeCell ref="A42:J42"/>
    <mergeCell ref="L42:M42"/>
    <mergeCell ref="N42:O42"/>
    <mergeCell ref="S42:T42"/>
    <mergeCell ref="U42:V42"/>
    <mergeCell ref="Z42:AA42"/>
    <mergeCell ref="AB42:AC42"/>
    <mergeCell ref="A41:J41"/>
    <mergeCell ref="L41:M41"/>
    <mergeCell ref="N41:O41"/>
    <mergeCell ref="S41:T41"/>
    <mergeCell ref="U41:V41"/>
    <mergeCell ref="Z41:AA41"/>
    <mergeCell ref="AB39:AC39"/>
    <mergeCell ref="A40:J40"/>
    <mergeCell ref="L40:M40"/>
    <mergeCell ref="N40:O40"/>
    <mergeCell ref="S40:T40"/>
    <mergeCell ref="U40:V40"/>
    <mergeCell ref="Z40:AA40"/>
    <mergeCell ref="AB40:AC40"/>
    <mergeCell ref="Z38:AA38"/>
    <mergeCell ref="AB38:AC38"/>
    <mergeCell ref="B39:C39"/>
    <mergeCell ref="D39:E39"/>
    <mergeCell ref="F39:G39"/>
    <mergeCell ref="L39:M39"/>
    <mergeCell ref="N39:O39"/>
    <mergeCell ref="S39:T39"/>
    <mergeCell ref="U39:V39"/>
    <mergeCell ref="Z39:AA39"/>
    <mergeCell ref="B38:C38"/>
    <mergeCell ref="D38:E38"/>
    <mergeCell ref="L38:M38"/>
    <mergeCell ref="N38:O38"/>
    <mergeCell ref="S38:T38"/>
    <mergeCell ref="U38:V38"/>
    <mergeCell ref="B37:C37"/>
    <mergeCell ref="D37:E37"/>
    <mergeCell ref="L37:M37"/>
    <mergeCell ref="N37:O37"/>
    <mergeCell ref="S37:T37"/>
    <mergeCell ref="U37:V37"/>
    <mergeCell ref="Z37:AA37"/>
    <mergeCell ref="AB37:AC37"/>
    <mergeCell ref="AI37:AJ37"/>
    <mergeCell ref="B36:C36"/>
    <mergeCell ref="D36:E36"/>
    <mergeCell ref="L36:M36"/>
    <mergeCell ref="N36:O36"/>
    <mergeCell ref="S36:T36"/>
    <mergeCell ref="U36:V36"/>
    <mergeCell ref="Z36:AA36"/>
    <mergeCell ref="AB36:AC36"/>
    <mergeCell ref="AI36:AJ36"/>
    <mergeCell ref="Z34:AA34"/>
    <mergeCell ref="AB34:AC34"/>
    <mergeCell ref="AI34:AJ34"/>
    <mergeCell ref="B35:C35"/>
    <mergeCell ref="D35:E35"/>
    <mergeCell ref="L35:M35"/>
    <mergeCell ref="N35:O35"/>
    <mergeCell ref="S35:T35"/>
    <mergeCell ref="U35:V35"/>
    <mergeCell ref="Z35:AA35"/>
    <mergeCell ref="B34:C34"/>
    <mergeCell ref="D34:E34"/>
    <mergeCell ref="L34:M34"/>
    <mergeCell ref="N34:O34"/>
    <mergeCell ref="S34:T34"/>
    <mergeCell ref="U34:V34"/>
    <mergeCell ref="AB35:AC35"/>
    <mergeCell ref="AI35:AJ35"/>
    <mergeCell ref="B33:C33"/>
    <mergeCell ref="D33:E33"/>
    <mergeCell ref="L33:M33"/>
    <mergeCell ref="N33:O33"/>
    <mergeCell ref="S33:T33"/>
    <mergeCell ref="U33:V33"/>
    <mergeCell ref="Z33:AA33"/>
    <mergeCell ref="AB33:AC33"/>
    <mergeCell ref="AI33:AJ33"/>
    <mergeCell ref="L32:M32"/>
    <mergeCell ref="N32:O32"/>
    <mergeCell ref="S32:T32"/>
    <mergeCell ref="U32:V32"/>
    <mergeCell ref="Z32:AA32"/>
    <mergeCell ref="AB32:AC32"/>
    <mergeCell ref="AI32:AJ32"/>
    <mergeCell ref="B32:E32"/>
    <mergeCell ref="Z30:AA30"/>
    <mergeCell ref="AB30:AC30"/>
    <mergeCell ref="AI30:AJ30"/>
    <mergeCell ref="L31:M31"/>
    <mergeCell ref="N31:O31"/>
    <mergeCell ref="S31:T31"/>
    <mergeCell ref="U31:V31"/>
    <mergeCell ref="Z31:AA31"/>
    <mergeCell ref="L30:M30"/>
    <mergeCell ref="N30:O30"/>
    <mergeCell ref="S30:T30"/>
    <mergeCell ref="U30:V30"/>
    <mergeCell ref="AB31:AC31"/>
    <mergeCell ref="AI31:AJ31"/>
    <mergeCell ref="B30:E30"/>
    <mergeCell ref="B31:E31"/>
    <mergeCell ref="L29:M29"/>
    <mergeCell ref="N29:O29"/>
    <mergeCell ref="S29:T29"/>
    <mergeCell ref="U29:V29"/>
    <mergeCell ref="Z29:AA29"/>
    <mergeCell ref="AB29:AC29"/>
    <mergeCell ref="AI29:AJ29"/>
    <mergeCell ref="B29:E29"/>
    <mergeCell ref="L28:M28"/>
    <mergeCell ref="N28:O28"/>
    <mergeCell ref="S28:T28"/>
    <mergeCell ref="U28:V28"/>
    <mergeCell ref="Z28:AA28"/>
    <mergeCell ref="AB28:AC28"/>
    <mergeCell ref="AI28:AJ28"/>
    <mergeCell ref="B28:E28"/>
    <mergeCell ref="B26:E26"/>
    <mergeCell ref="B27:E27"/>
    <mergeCell ref="L25:M25"/>
    <mergeCell ref="N25:O25"/>
    <mergeCell ref="S25:T25"/>
    <mergeCell ref="U25:V25"/>
    <mergeCell ref="Z25:AA25"/>
    <mergeCell ref="AB25:AC25"/>
    <mergeCell ref="AI25:AJ25"/>
    <mergeCell ref="B25:E25"/>
    <mergeCell ref="Z26:AA26"/>
    <mergeCell ref="AB26:AC26"/>
    <mergeCell ref="AI26:AJ26"/>
    <mergeCell ref="L27:M27"/>
    <mergeCell ref="N27:O27"/>
    <mergeCell ref="S27:T27"/>
    <mergeCell ref="U27:V27"/>
    <mergeCell ref="Z27:AA27"/>
    <mergeCell ref="L26:M26"/>
    <mergeCell ref="N26:O26"/>
    <mergeCell ref="S26:T26"/>
    <mergeCell ref="U26:V26"/>
    <mergeCell ref="AB27:AC27"/>
    <mergeCell ref="AI27:AJ27"/>
    <mergeCell ref="L24:M24"/>
    <mergeCell ref="N24:O24"/>
    <mergeCell ref="S24:T24"/>
    <mergeCell ref="U24:V24"/>
    <mergeCell ref="Z24:AA24"/>
    <mergeCell ref="AB24:AC24"/>
    <mergeCell ref="AI24:AJ24"/>
    <mergeCell ref="B24:E24"/>
    <mergeCell ref="Z22:AA22"/>
    <mergeCell ref="AB22:AC22"/>
    <mergeCell ref="AI22:AJ22"/>
    <mergeCell ref="L23:M23"/>
    <mergeCell ref="N23:O23"/>
    <mergeCell ref="S23:T23"/>
    <mergeCell ref="U23:V23"/>
    <mergeCell ref="Z23:AA23"/>
    <mergeCell ref="L22:M22"/>
    <mergeCell ref="N22:O22"/>
    <mergeCell ref="S22:T22"/>
    <mergeCell ref="U22:V22"/>
    <mergeCell ref="AB23:AC23"/>
    <mergeCell ref="AI23:AJ23"/>
    <mergeCell ref="B22:E22"/>
    <mergeCell ref="B23:E23"/>
    <mergeCell ref="B21:E21"/>
    <mergeCell ref="L21:M21"/>
    <mergeCell ref="N21:O21"/>
    <mergeCell ref="S21:T21"/>
    <mergeCell ref="U21:V21"/>
    <mergeCell ref="Z21:AA21"/>
    <mergeCell ref="AB21:AC21"/>
    <mergeCell ref="AI21:AJ21"/>
    <mergeCell ref="B20:E20"/>
    <mergeCell ref="L20:M20"/>
    <mergeCell ref="N20:O20"/>
    <mergeCell ref="S20:T20"/>
    <mergeCell ref="U20:V20"/>
    <mergeCell ref="Z20:AA20"/>
    <mergeCell ref="I19:J19"/>
    <mergeCell ref="L19:M19"/>
    <mergeCell ref="N19:O19"/>
    <mergeCell ref="S19:T19"/>
    <mergeCell ref="U19:V19"/>
    <mergeCell ref="Z19:AA19"/>
    <mergeCell ref="AB19:AC19"/>
    <mergeCell ref="AI19:AJ19"/>
    <mergeCell ref="AB20:AC20"/>
    <mergeCell ref="AI20:AJ20"/>
    <mergeCell ref="AI17:AJ17"/>
    <mergeCell ref="B18:E18"/>
    <mergeCell ref="F18:G18"/>
    <mergeCell ref="H18:I18"/>
    <mergeCell ref="L18:M18"/>
    <mergeCell ref="N18:O18"/>
    <mergeCell ref="S18:T18"/>
    <mergeCell ref="U18:V18"/>
    <mergeCell ref="Z18:AA18"/>
    <mergeCell ref="AB18:AC18"/>
    <mergeCell ref="L17:M17"/>
    <mergeCell ref="N17:O17"/>
    <mergeCell ref="S17:T17"/>
    <mergeCell ref="U17:V17"/>
    <mergeCell ref="Z17:AA17"/>
    <mergeCell ref="AB17:AC17"/>
    <mergeCell ref="AI18:AJ18"/>
    <mergeCell ref="N16:O16"/>
    <mergeCell ref="S16:T16"/>
    <mergeCell ref="U16:V16"/>
    <mergeCell ref="Z16:AA16"/>
    <mergeCell ref="AB16:AC16"/>
    <mergeCell ref="AI16:AJ16"/>
    <mergeCell ref="B15:E15"/>
    <mergeCell ref="L15:M15"/>
    <mergeCell ref="N15:O15"/>
    <mergeCell ref="S15:T15"/>
    <mergeCell ref="U15:V15"/>
    <mergeCell ref="Z15:AA15"/>
    <mergeCell ref="AI12:AJ12"/>
    <mergeCell ref="B13:E13"/>
    <mergeCell ref="H13:H16"/>
    <mergeCell ref="I13:I16"/>
    <mergeCell ref="J13:J16"/>
    <mergeCell ref="L13:M13"/>
    <mergeCell ref="N13:O13"/>
    <mergeCell ref="S13:T13"/>
    <mergeCell ref="U13:V13"/>
    <mergeCell ref="Z13:AA13"/>
    <mergeCell ref="AB13:AC13"/>
    <mergeCell ref="AI13:AJ13"/>
    <mergeCell ref="B14:E14"/>
    <mergeCell ref="L14:M14"/>
    <mergeCell ref="N14:O14"/>
    <mergeCell ref="S14:T14"/>
    <mergeCell ref="U14:V14"/>
    <mergeCell ref="Z14:AA14"/>
    <mergeCell ref="AB14:AC14"/>
    <mergeCell ref="AI14:AJ14"/>
    <mergeCell ref="AB15:AC15"/>
    <mergeCell ref="AI15:AJ15"/>
    <mergeCell ref="B16:E16"/>
    <mergeCell ref="L16:M16"/>
    <mergeCell ref="Z11:AC11"/>
    <mergeCell ref="B12:E12"/>
    <mergeCell ref="L12:M12"/>
    <mergeCell ref="N12:O12"/>
    <mergeCell ref="S12:T12"/>
    <mergeCell ref="U12:V12"/>
    <mergeCell ref="Z12:AA12"/>
    <mergeCell ref="AB12:AC12"/>
    <mergeCell ref="H9:J9"/>
    <mergeCell ref="G10:J10"/>
    <mergeCell ref="L10:O10"/>
    <mergeCell ref="R10:T10"/>
    <mergeCell ref="B11:E11"/>
    <mergeCell ref="G11:J11"/>
    <mergeCell ref="L11:O11"/>
    <mergeCell ref="A5:E5"/>
    <mergeCell ref="H5:J5"/>
    <mergeCell ref="A6:E6"/>
    <mergeCell ref="H6:I6"/>
    <mergeCell ref="H7:J7"/>
    <mergeCell ref="A8:D8"/>
    <mergeCell ref="H8:J8"/>
    <mergeCell ref="A1:J1"/>
    <mergeCell ref="H2:I2"/>
    <mergeCell ref="A3:E3"/>
    <mergeCell ref="H3:J3"/>
    <mergeCell ref="A4:E4"/>
    <mergeCell ref="H4:I4"/>
  </mergeCells>
  <phoneticPr fontId="1"/>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491B3-184B-4126-951B-B5AE6C91DE81}">
  <dimension ref="A1:BH173"/>
  <sheetViews>
    <sheetView workbookViewId="0">
      <selection activeCell="N14" sqref="N14"/>
    </sheetView>
  </sheetViews>
  <sheetFormatPr defaultColWidth="4.625" defaultRowHeight="13.5"/>
  <cols>
    <col min="1" max="1" width="3.75" customWidth="1"/>
    <col min="6" max="6" width="5.375" customWidth="1"/>
    <col min="7" max="7" width="5" customWidth="1"/>
    <col min="10" max="10" width="6" customWidth="1"/>
    <col min="11" max="11" width="5.625" customWidth="1"/>
    <col min="12" max="12" width="3.625" customWidth="1"/>
    <col min="13" max="13" width="3.375" customWidth="1"/>
    <col min="14" max="14" width="4.125" customWidth="1"/>
    <col min="15" max="15" width="3.75" customWidth="1"/>
    <col min="16" max="16" width="4.25" customWidth="1"/>
    <col min="17" max="17" width="4.375" customWidth="1"/>
    <col min="18" max="18" width="4" customWidth="1"/>
    <col min="19" max="19" width="4.875" customWidth="1"/>
    <col min="20" max="25" width="3.625" customWidth="1"/>
    <col min="26" max="31" width="4.125" customWidth="1"/>
    <col min="32" max="37" width="3.125" customWidth="1"/>
    <col min="38" max="55" width="3.625" customWidth="1"/>
    <col min="257" max="257" width="3.75" customWidth="1"/>
    <col min="262" max="262" width="5.375" customWidth="1"/>
    <col min="263" max="263" width="5" customWidth="1"/>
    <col min="266" max="266" width="6" customWidth="1"/>
    <col min="267" max="267" width="5.625" customWidth="1"/>
    <col min="268" max="268" width="3.625" customWidth="1"/>
    <col min="269" max="269" width="3.375" customWidth="1"/>
    <col min="270" max="270" width="4.125" customWidth="1"/>
    <col min="271" max="271" width="3.75" customWidth="1"/>
    <col min="272" max="272" width="4.25" customWidth="1"/>
    <col min="273" max="273" width="4.375" customWidth="1"/>
    <col min="274" max="274" width="4" customWidth="1"/>
    <col min="275" max="275" width="4.875" customWidth="1"/>
    <col min="276" max="281" width="3.625" customWidth="1"/>
    <col min="282" max="287" width="4.125" customWidth="1"/>
    <col min="288" max="293" width="3.125" customWidth="1"/>
    <col min="294" max="311" width="3.625" customWidth="1"/>
    <col min="513" max="513" width="3.75" customWidth="1"/>
    <col min="518" max="518" width="5.375" customWidth="1"/>
    <col min="519" max="519" width="5" customWidth="1"/>
    <col min="522" max="522" width="6" customWidth="1"/>
    <col min="523" max="523" width="5.625" customWidth="1"/>
    <col min="524" max="524" width="3.625" customWidth="1"/>
    <col min="525" max="525" width="3.375" customWidth="1"/>
    <col min="526" max="526" width="4.125" customWidth="1"/>
    <col min="527" max="527" width="3.75" customWidth="1"/>
    <col min="528" max="528" width="4.25" customWidth="1"/>
    <col min="529" max="529" width="4.375" customWidth="1"/>
    <col min="530" max="530" width="4" customWidth="1"/>
    <col min="531" max="531" width="4.875" customWidth="1"/>
    <col min="532" max="537" width="3.625" customWidth="1"/>
    <col min="538" max="543" width="4.125" customWidth="1"/>
    <col min="544" max="549" width="3.125" customWidth="1"/>
    <col min="550" max="567" width="3.625" customWidth="1"/>
    <col min="769" max="769" width="3.75" customWidth="1"/>
    <col min="774" max="774" width="5.375" customWidth="1"/>
    <col min="775" max="775" width="5" customWidth="1"/>
    <col min="778" max="778" width="6" customWidth="1"/>
    <col min="779" max="779" width="5.625" customWidth="1"/>
    <col min="780" max="780" width="3.625" customWidth="1"/>
    <col min="781" max="781" width="3.375" customWidth="1"/>
    <col min="782" max="782" width="4.125" customWidth="1"/>
    <col min="783" max="783" width="3.75" customWidth="1"/>
    <col min="784" max="784" width="4.25" customWidth="1"/>
    <col min="785" max="785" width="4.375" customWidth="1"/>
    <col min="786" max="786" width="4" customWidth="1"/>
    <col min="787" max="787" width="4.875" customWidth="1"/>
    <col min="788" max="793" width="3.625" customWidth="1"/>
    <col min="794" max="799" width="4.125" customWidth="1"/>
    <col min="800" max="805" width="3.125" customWidth="1"/>
    <col min="806" max="823" width="3.625" customWidth="1"/>
    <col min="1025" max="1025" width="3.75" customWidth="1"/>
    <col min="1030" max="1030" width="5.375" customWidth="1"/>
    <col min="1031" max="1031" width="5" customWidth="1"/>
    <col min="1034" max="1034" width="6" customWidth="1"/>
    <col min="1035" max="1035" width="5.625" customWidth="1"/>
    <col min="1036" max="1036" width="3.625" customWidth="1"/>
    <col min="1037" max="1037" width="3.375" customWidth="1"/>
    <col min="1038" max="1038" width="4.125" customWidth="1"/>
    <col min="1039" max="1039" width="3.75" customWidth="1"/>
    <col min="1040" max="1040" width="4.25" customWidth="1"/>
    <col min="1041" max="1041" width="4.375" customWidth="1"/>
    <col min="1042" max="1042" width="4" customWidth="1"/>
    <col min="1043" max="1043" width="4.875" customWidth="1"/>
    <col min="1044" max="1049" width="3.625" customWidth="1"/>
    <col min="1050" max="1055" width="4.125" customWidth="1"/>
    <col min="1056" max="1061" width="3.125" customWidth="1"/>
    <col min="1062" max="1079" width="3.625" customWidth="1"/>
    <col min="1281" max="1281" width="3.75" customWidth="1"/>
    <col min="1286" max="1286" width="5.375" customWidth="1"/>
    <col min="1287" max="1287" width="5" customWidth="1"/>
    <col min="1290" max="1290" width="6" customWidth="1"/>
    <col min="1291" max="1291" width="5.625" customWidth="1"/>
    <col min="1292" max="1292" width="3.625" customWidth="1"/>
    <col min="1293" max="1293" width="3.375" customWidth="1"/>
    <col min="1294" max="1294" width="4.125" customWidth="1"/>
    <col min="1295" max="1295" width="3.75" customWidth="1"/>
    <col min="1296" max="1296" width="4.25" customWidth="1"/>
    <col min="1297" max="1297" width="4.375" customWidth="1"/>
    <col min="1298" max="1298" width="4" customWidth="1"/>
    <col min="1299" max="1299" width="4.875" customWidth="1"/>
    <col min="1300" max="1305" width="3.625" customWidth="1"/>
    <col min="1306" max="1311" width="4.125" customWidth="1"/>
    <col min="1312" max="1317" width="3.125" customWidth="1"/>
    <col min="1318" max="1335" width="3.625" customWidth="1"/>
    <col min="1537" max="1537" width="3.75" customWidth="1"/>
    <col min="1542" max="1542" width="5.375" customWidth="1"/>
    <col min="1543" max="1543" width="5" customWidth="1"/>
    <col min="1546" max="1546" width="6" customWidth="1"/>
    <col min="1547" max="1547" width="5.625" customWidth="1"/>
    <col min="1548" max="1548" width="3.625" customWidth="1"/>
    <col min="1549" max="1549" width="3.375" customWidth="1"/>
    <col min="1550" max="1550" width="4.125" customWidth="1"/>
    <col min="1551" max="1551" width="3.75" customWidth="1"/>
    <col min="1552" max="1552" width="4.25" customWidth="1"/>
    <col min="1553" max="1553" width="4.375" customWidth="1"/>
    <col min="1554" max="1554" width="4" customWidth="1"/>
    <col min="1555" max="1555" width="4.875" customWidth="1"/>
    <col min="1556" max="1561" width="3.625" customWidth="1"/>
    <col min="1562" max="1567" width="4.125" customWidth="1"/>
    <col min="1568" max="1573" width="3.125" customWidth="1"/>
    <col min="1574" max="1591" width="3.625" customWidth="1"/>
    <col min="1793" max="1793" width="3.75" customWidth="1"/>
    <col min="1798" max="1798" width="5.375" customWidth="1"/>
    <col min="1799" max="1799" width="5" customWidth="1"/>
    <col min="1802" max="1802" width="6" customWidth="1"/>
    <col min="1803" max="1803" width="5.625" customWidth="1"/>
    <col min="1804" max="1804" width="3.625" customWidth="1"/>
    <col min="1805" max="1805" width="3.375" customWidth="1"/>
    <col min="1806" max="1806" width="4.125" customWidth="1"/>
    <col min="1807" max="1807" width="3.75" customWidth="1"/>
    <col min="1808" max="1808" width="4.25" customWidth="1"/>
    <col min="1809" max="1809" width="4.375" customWidth="1"/>
    <col min="1810" max="1810" width="4" customWidth="1"/>
    <col min="1811" max="1811" width="4.875" customWidth="1"/>
    <col min="1812" max="1817" width="3.625" customWidth="1"/>
    <col min="1818" max="1823" width="4.125" customWidth="1"/>
    <col min="1824" max="1829" width="3.125" customWidth="1"/>
    <col min="1830" max="1847" width="3.625" customWidth="1"/>
    <col min="2049" max="2049" width="3.75" customWidth="1"/>
    <col min="2054" max="2054" width="5.375" customWidth="1"/>
    <col min="2055" max="2055" width="5" customWidth="1"/>
    <col min="2058" max="2058" width="6" customWidth="1"/>
    <col min="2059" max="2059" width="5.625" customWidth="1"/>
    <col min="2060" max="2060" width="3.625" customWidth="1"/>
    <col min="2061" max="2061" width="3.375" customWidth="1"/>
    <col min="2062" max="2062" width="4.125" customWidth="1"/>
    <col min="2063" max="2063" width="3.75" customWidth="1"/>
    <col min="2064" max="2064" width="4.25" customWidth="1"/>
    <col min="2065" max="2065" width="4.375" customWidth="1"/>
    <col min="2066" max="2066" width="4" customWidth="1"/>
    <col min="2067" max="2067" width="4.875" customWidth="1"/>
    <col min="2068" max="2073" width="3.625" customWidth="1"/>
    <col min="2074" max="2079" width="4.125" customWidth="1"/>
    <col min="2080" max="2085" width="3.125" customWidth="1"/>
    <col min="2086" max="2103" width="3.625" customWidth="1"/>
    <col min="2305" max="2305" width="3.75" customWidth="1"/>
    <col min="2310" max="2310" width="5.375" customWidth="1"/>
    <col min="2311" max="2311" width="5" customWidth="1"/>
    <col min="2314" max="2314" width="6" customWidth="1"/>
    <col min="2315" max="2315" width="5.625" customWidth="1"/>
    <col min="2316" max="2316" width="3.625" customWidth="1"/>
    <col min="2317" max="2317" width="3.375" customWidth="1"/>
    <col min="2318" max="2318" width="4.125" customWidth="1"/>
    <col min="2319" max="2319" width="3.75" customWidth="1"/>
    <col min="2320" max="2320" width="4.25" customWidth="1"/>
    <col min="2321" max="2321" width="4.375" customWidth="1"/>
    <col min="2322" max="2322" width="4" customWidth="1"/>
    <col min="2323" max="2323" width="4.875" customWidth="1"/>
    <col min="2324" max="2329" width="3.625" customWidth="1"/>
    <col min="2330" max="2335" width="4.125" customWidth="1"/>
    <col min="2336" max="2341" width="3.125" customWidth="1"/>
    <col min="2342" max="2359" width="3.625" customWidth="1"/>
    <col min="2561" max="2561" width="3.75" customWidth="1"/>
    <col min="2566" max="2566" width="5.375" customWidth="1"/>
    <col min="2567" max="2567" width="5" customWidth="1"/>
    <col min="2570" max="2570" width="6" customWidth="1"/>
    <col min="2571" max="2571" width="5.625" customWidth="1"/>
    <col min="2572" max="2572" width="3.625" customWidth="1"/>
    <col min="2573" max="2573" width="3.375" customWidth="1"/>
    <col min="2574" max="2574" width="4.125" customWidth="1"/>
    <col min="2575" max="2575" width="3.75" customWidth="1"/>
    <col min="2576" max="2576" width="4.25" customWidth="1"/>
    <col min="2577" max="2577" width="4.375" customWidth="1"/>
    <col min="2578" max="2578" width="4" customWidth="1"/>
    <col min="2579" max="2579" width="4.875" customWidth="1"/>
    <col min="2580" max="2585" width="3.625" customWidth="1"/>
    <col min="2586" max="2591" width="4.125" customWidth="1"/>
    <col min="2592" max="2597" width="3.125" customWidth="1"/>
    <col min="2598" max="2615" width="3.625" customWidth="1"/>
    <col min="2817" max="2817" width="3.75" customWidth="1"/>
    <col min="2822" max="2822" width="5.375" customWidth="1"/>
    <col min="2823" max="2823" width="5" customWidth="1"/>
    <col min="2826" max="2826" width="6" customWidth="1"/>
    <col min="2827" max="2827" width="5.625" customWidth="1"/>
    <col min="2828" max="2828" width="3.625" customWidth="1"/>
    <col min="2829" max="2829" width="3.375" customWidth="1"/>
    <col min="2830" max="2830" width="4.125" customWidth="1"/>
    <col min="2831" max="2831" width="3.75" customWidth="1"/>
    <col min="2832" max="2832" width="4.25" customWidth="1"/>
    <col min="2833" max="2833" width="4.375" customWidth="1"/>
    <col min="2834" max="2834" width="4" customWidth="1"/>
    <col min="2835" max="2835" width="4.875" customWidth="1"/>
    <col min="2836" max="2841" width="3.625" customWidth="1"/>
    <col min="2842" max="2847" width="4.125" customWidth="1"/>
    <col min="2848" max="2853" width="3.125" customWidth="1"/>
    <col min="2854" max="2871" width="3.625" customWidth="1"/>
    <col min="3073" max="3073" width="3.75" customWidth="1"/>
    <col min="3078" max="3078" width="5.375" customWidth="1"/>
    <col min="3079" max="3079" width="5" customWidth="1"/>
    <col min="3082" max="3082" width="6" customWidth="1"/>
    <col min="3083" max="3083" width="5.625" customWidth="1"/>
    <col min="3084" max="3084" width="3.625" customWidth="1"/>
    <col min="3085" max="3085" width="3.375" customWidth="1"/>
    <col min="3086" max="3086" width="4.125" customWidth="1"/>
    <col min="3087" max="3087" width="3.75" customWidth="1"/>
    <col min="3088" max="3088" width="4.25" customWidth="1"/>
    <col min="3089" max="3089" width="4.375" customWidth="1"/>
    <col min="3090" max="3090" width="4" customWidth="1"/>
    <col min="3091" max="3091" width="4.875" customWidth="1"/>
    <col min="3092" max="3097" width="3.625" customWidth="1"/>
    <col min="3098" max="3103" width="4.125" customWidth="1"/>
    <col min="3104" max="3109" width="3.125" customWidth="1"/>
    <col min="3110" max="3127" width="3.625" customWidth="1"/>
    <col min="3329" max="3329" width="3.75" customWidth="1"/>
    <col min="3334" max="3334" width="5.375" customWidth="1"/>
    <col min="3335" max="3335" width="5" customWidth="1"/>
    <col min="3338" max="3338" width="6" customWidth="1"/>
    <col min="3339" max="3339" width="5.625" customWidth="1"/>
    <col min="3340" max="3340" width="3.625" customWidth="1"/>
    <col min="3341" max="3341" width="3.375" customWidth="1"/>
    <col min="3342" max="3342" width="4.125" customWidth="1"/>
    <col min="3343" max="3343" width="3.75" customWidth="1"/>
    <col min="3344" max="3344" width="4.25" customWidth="1"/>
    <col min="3345" max="3345" width="4.375" customWidth="1"/>
    <col min="3346" max="3346" width="4" customWidth="1"/>
    <col min="3347" max="3347" width="4.875" customWidth="1"/>
    <col min="3348" max="3353" width="3.625" customWidth="1"/>
    <col min="3354" max="3359" width="4.125" customWidth="1"/>
    <col min="3360" max="3365" width="3.125" customWidth="1"/>
    <col min="3366" max="3383" width="3.625" customWidth="1"/>
    <col min="3585" max="3585" width="3.75" customWidth="1"/>
    <col min="3590" max="3590" width="5.375" customWidth="1"/>
    <col min="3591" max="3591" width="5" customWidth="1"/>
    <col min="3594" max="3594" width="6" customWidth="1"/>
    <col min="3595" max="3595" width="5.625" customWidth="1"/>
    <col min="3596" max="3596" width="3.625" customWidth="1"/>
    <col min="3597" max="3597" width="3.375" customWidth="1"/>
    <col min="3598" max="3598" width="4.125" customWidth="1"/>
    <col min="3599" max="3599" width="3.75" customWidth="1"/>
    <col min="3600" max="3600" width="4.25" customWidth="1"/>
    <col min="3601" max="3601" width="4.375" customWidth="1"/>
    <col min="3602" max="3602" width="4" customWidth="1"/>
    <col min="3603" max="3603" width="4.875" customWidth="1"/>
    <col min="3604" max="3609" width="3.625" customWidth="1"/>
    <col min="3610" max="3615" width="4.125" customWidth="1"/>
    <col min="3616" max="3621" width="3.125" customWidth="1"/>
    <col min="3622" max="3639" width="3.625" customWidth="1"/>
    <col min="3841" max="3841" width="3.75" customWidth="1"/>
    <col min="3846" max="3846" width="5.375" customWidth="1"/>
    <col min="3847" max="3847" width="5" customWidth="1"/>
    <col min="3850" max="3850" width="6" customWidth="1"/>
    <col min="3851" max="3851" width="5.625" customWidth="1"/>
    <col min="3852" max="3852" width="3.625" customWidth="1"/>
    <col min="3853" max="3853" width="3.375" customWidth="1"/>
    <col min="3854" max="3854" width="4.125" customWidth="1"/>
    <col min="3855" max="3855" width="3.75" customWidth="1"/>
    <col min="3856" max="3856" width="4.25" customWidth="1"/>
    <col min="3857" max="3857" width="4.375" customWidth="1"/>
    <col min="3858" max="3858" width="4" customWidth="1"/>
    <col min="3859" max="3859" width="4.875" customWidth="1"/>
    <col min="3860" max="3865" width="3.625" customWidth="1"/>
    <col min="3866" max="3871" width="4.125" customWidth="1"/>
    <col min="3872" max="3877" width="3.125" customWidth="1"/>
    <col min="3878" max="3895" width="3.625" customWidth="1"/>
    <col min="4097" max="4097" width="3.75" customWidth="1"/>
    <col min="4102" max="4102" width="5.375" customWidth="1"/>
    <col min="4103" max="4103" width="5" customWidth="1"/>
    <col min="4106" max="4106" width="6" customWidth="1"/>
    <col min="4107" max="4107" width="5.625" customWidth="1"/>
    <col min="4108" max="4108" width="3.625" customWidth="1"/>
    <col min="4109" max="4109" width="3.375" customWidth="1"/>
    <col min="4110" max="4110" width="4.125" customWidth="1"/>
    <col min="4111" max="4111" width="3.75" customWidth="1"/>
    <col min="4112" max="4112" width="4.25" customWidth="1"/>
    <col min="4113" max="4113" width="4.375" customWidth="1"/>
    <col min="4114" max="4114" width="4" customWidth="1"/>
    <col min="4115" max="4115" width="4.875" customWidth="1"/>
    <col min="4116" max="4121" width="3.625" customWidth="1"/>
    <col min="4122" max="4127" width="4.125" customWidth="1"/>
    <col min="4128" max="4133" width="3.125" customWidth="1"/>
    <col min="4134" max="4151" width="3.625" customWidth="1"/>
    <col min="4353" max="4353" width="3.75" customWidth="1"/>
    <col min="4358" max="4358" width="5.375" customWidth="1"/>
    <col min="4359" max="4359" width="5" customWidth="1"/>
    <col min="4362" max="4362" width="6" customWidth="1"/>
    <col min="4363" max="4363" width="5.625" customWidth="1"/>
    <col min="4364" max="4364" width="3.625" customWidth="1"/>
    <col min="4365" max="4365" width="3.375" customWidth="1"/>
    <col min="4366" max="4366" width="4.125" customWidth="1"/>
    <col min="4367" max="4367" width="3.75" customWidth="1"/>
    <col min="4368" max="4368" width="4.25" customWidth="1"/>
    <col min="4369" max="4369" width="4.375" customWidth="1"/>
    <col min="4370" max="4370" width="4" customWidth="1"/>
    <col min="4371" max="4371" width="4.875" customWidth="1"/>
    <col min="4372" max="4377" width="3.625" customWidth="1"/>
    <col min="4378" max="4383" width="4.125" customWidth="1"/>
    <col min="4384" max="4389" width="3.125" customWidth="1"/>
    <col min="4390" max="4407" width="3.625" customWidth="1"/>
    <col min="4609" max="4609" width="3.75" customWidth="1"/>
    <col min="4614" max="4614" width="5.375" customWidth="1"/>
    <col min="4615" max="4615" width="5" customWidth="1"/>
    <col min="4618" max="4618" width="6" customWidth="1"/>
    <col min="4619" max="4619" width="5.625" customWidth="1"/>
    <col min="4620" max="4620" width="3.625" customWidth="1"/>
    <col min="4621" max="4621" width="3.375" customWidth="1"/>
    <col min="4622" max="4622" width="4.125" customWidth="1"/>
    <col min="4623" max="4623" width="3.75" customWidth="1"/>
    <col min="4624" max="4624" width="4.25" customWidth="1"/>
    <col min="4625" max="4625" width="4.375" customWidth="1"/>
    <col min="4626" max="4626" width="4" customWidth="1"/>
    <col min="4627" max="4627" width="4.875" customWidth="1"/>
    <col min="4628" max="4633" width="3.625" customWidth="1"/>
    <col min="4634" max="4639" width="4.125" customWidth="1"/>
    <col min="4640" max="4645" width="3.125" customWidth="1"/>
    <col min="4646" max="4663" width="3.625" customWidth="1"/>
    <col min="4865" max="4865" width="3.75" customWidth="1"/>
    <col min="4870" max="4870" width="5.375" customWidth="1"/>
    <col min="4871" max="4871" width="5" customWidth="1"/>
    <col min="4874" max="4874" width="6" customWidth="1"/>
    <col min="4875" max="4875" width="5.625" customWidth="1"/>
    <col min="4876" max="4876" width="3.625" customWidth="1"/>
    <col min="4877" max="4877" width="3.375" customWidth="1"/>
    <col min="4878" max="4878" width="4.125" customWidth="1"/>
    <col min="4879" max="4879" width="3.75" customWidth="1"/>
    <col min="4880" max="4880" width="4.25" customWidth="1"/>
    <col min="4881" max="4881" width="4.375" customWidth="1"/>
    <col min="4882" max="4882" width="4" customWidth="1"/>
    <col min="4883" max="4883" width="4.875" customWidth="1"/>
    <col min="4884" max="4889" width="3.625" customWidth="1"/>
    <col min="4890" max="4895" width="4.125" customWidth="1"/>
    <col min="4896" max="4901" width="3.125" customWidth="1"/>
    <col min="4902" max="4919" width="3.625" customWidth="1"/>
    <col min="5121" max="5121" width="3.75" customWidth="1"/>
    <col min="5126" max="5126" width="5.375" customWidth="1"/>
    <col min="5127" max="5127" width="5" customWidth="1"/>
    <col min="5130" max="5130" width="6" customWidth="1"/>
    <col min="5131" max="5131" width="5.625" customWidth="1"/>
    <col min="5132" max="5132" width="3.625" customWidth="1"/>
    <col min="5133" max="5133" width="3.375" customWidth="1"/>
    <col min="5134" max="5134" width="4.125" customWidth="1"/>
    <col min="5135" max="5135" width="3.75" customWidth="1"/>
    <col min="5136" max="5136" width="4.25" customWidth="1"/>
    <col min="5137" max="5137" width="4.375" customWidth="1"/>
    <col min="5138" max="5138" width="4" customWidth="1"/>
    <col min="5139" max="5139" width="4.875" customWidth="1"/>
    <col min="5140" max="5145" width="3.625" customWidth="1"/>
    <col min="5146" max="5151" width="4.125" customWidth="1"/>
    <col min="5152" max="5157" width="3.125" customWidth="1"/>
    <col min="5158" max="5175" width="3.625" customWidth="1"/>
    <col min="5377" max="5377" width="3.75" customWidth="1"/>
    <col min="5382" max="5382" width="5.375" customWidth="1"/>
    <col min="5383" max="5383" width="5" customWidth="1"/>
    <col min="5386" max="5386" width="6" customWidth="1"/>
    <col min="5387" max="5387" width="5.625" customWidth="1"/>
    <col min="5388" max="5388" width="3.625" customWidth="1"/>
    <col min="5389" max="5389" width="3.375" customWidth="1"/>
    <col min="5390" max="5390" width="4.125" customWidth="1"/>
    <col min="5391" max="5391" width="3.75" customWidth="1"/>
    <col min="5392" max="5392" width="4.25" customWidth="1"/>
    <col min="5393" max="5393" width="4.375" customWidth="1"/>
    <col min="5394" max="5394" width="4" customWidth="1"/>
    <col min="5395" max="5395" width="4.875" customWidth="1"/>
    <col min="5396" max="5401" width="3.625" customWidth="1"/>
    <col min="5402" max="5407" width="4.125" customWidth="1"/>
    <col min="5408" max="5413" width="3.125" customWidth="1"/>
    <col min="5414" max="5431" width="3.625" customWidth="1"/>
    <col min="5633" max="5633" width="3.75" customWidth="1"/>
    <col min="5638" max="5638" width="5.375" customWidth="1"/>
    <col min="5639" max="5639" width="5" customWidth="1"/>
    <col min="5642" max="5642" width="6" customWidth="1"/>
    <col min="5643" max="5643" width="5.625" customWidth="1"/>
    <col min="5644" max="5644" width="3.625" customWidth="1"/>
    <col min="5645" max="5645" width="3.375" customWidth="1"/>
    <col min="5646" max="5646" width="4.125" customWidth="1"/>
    <col min="5647" max="5647" width="3.75" customWidth="1"/>
    <col min="5648" max="5648" width="4.25" customWidth="1"/>
    <col min="5649" max="5649" width="4.375" customWidth="1"/>
    <col min="5650" max="5650" width="4" customWidth="1"/>
    <col min="5651" max="5651" width="4.875" customWidth="1"/>
    <col min="5652" max="5657" width="3.625" customWidth="1"/>
    <col min="5658" max="5663" width="4.125" customWidth="1"/>
    <col min="5664" max="5669" width="3.125" customWidth="1"/>
    <col min="5670" max="5687" width="3.625" customWidth="1"/>
    <col min="5889" max="5889" width="3.75" customWidth="1"/>
    <col min="5894" max="5894" width="5.375" customWidth="1"/>
    <col min="5895" max="5895" width="5" customWidth="1"/>
    <col min="5898" max="5898" width="6" customWidth="1"/>
    <col min="5899" max="5899" width="5.625" customWidth="1"/>
    <col min="5900" max="5900" width="3.625" customWidth="1"/>
    <col min="5901" max="5901" width="3.375" customWidth="1"/>
    <col min="5902" max="5902" width="4.125" customWidth="1"/>
    <col min="5903" max="5903" width="3.75" customWidth="1"/>
    <col min="5904" max="5904" width="4.25" customWidth="1"/>
    <col min="5905" max="5905" width="4.375" customWidth="1"/>
    <col min="5906" max="5906" width="4" customWidth="1"/>
    <col min="5907" max="5907" width="4.875" customWidth="1"/>
    <col min="5908" max="5913" width="3.625" customWidth="1"/>
    <col min="5914" max="5919" width="4.125" customWidth="1"/>
    <col min="5920" max="5925" width="3.125" customWidth="1"/>
    <col min="5926" max="5943" width="3.625" customWidth="1"/>
    <col min="6145" max="6145" width="3.75" customWidth="1"/>
    <col min="6150" max="6150" width="5.375" customWidth="1"/>
    <col min="6151" max="6151" width="5" customWidth="1"/>
    <col min="6154" max="6154" width="6" customWidth="1"/>
    <col min="6155" max="6155" width="5.625" customWidth="1"/>
    <col min="6156" max="6156" width="3.625" customWidth="1"/>
    <col min="6157" max="6157" width="3.375" customWidth="1"/>
    <col min="6158" max="6158" width="4.125" customWidth="1"/>
    <col min="6159" max="6159" width="3.75" customWidth="1"/>
    <col min="6160" max="6160" width="4.25" customWidth="1"/>
    <col min="6161" max="6161" width="4.375" customWidth="1"/>
    <col min="6162" max="6162" width="4" customWidth="1"/>
    <col min="6163" max="6163" width="4.875" customWidth="1"/>
    <col min="6164" max="6169" width="3.625" customWidth="1"/>
    <col min="6170" max="6175" width="4.125" customWidth="1"/>
    <col min="6176" max="6181" width="3.125" customWidth="1"/>
    <col min="6182" max="6199" width="3.625" customWidth="1"/>
    <col min="6401" max="6401" width="3.75" customWidth="1"/>
    <col min="6406" max="6406" width="5.375" customWidth="1"/>
    <col min="6407" max="6407" width="5" customWidth="1"/>
    <col min="6410" max="6410" width="6" customWidth="1"/>
    <col min="6411" max="6411" width="5.625" customWidth="1"/>
    <col min="6412" max="6412" width="3.625" customWidth="1"/>
    <col min="6413" max="6413" width="3.375" customWidth="1"/>
    <col min="6414" max="6414" width="4.125" customWidth="1"/>
    <col min="6415" max="6415" width="3.75" customWidth="1"/>
    <col min="6416" max="6416" width="4.25" customWidth="1"/>
    <col min="6417" max="6417" width="4.375" customWidth="1"/>
    <col min="6418" max="6418" width="4" customWidth="1"/>
    <col min="6419" max="6419" width="4.875" customWidth="1"/>
    <col min="6420" max="6425" width="3.625" customWidth="1"/>
    <col min="6426" max="6431" width="4.125" customWidth="1"/>
    <col min="6432" max="6437" width="3.125" customWidth="1"/>
    <col min="6438" max="6455" width="3.625" customWidth="1"/>
    <col min="6657" max="6657" width="3.75" customWidth="1"/>
    <col min="6662" max="6662" width="5.375" customWidth="1"/>
    <col min="6663" max="6663" width="5" customWidth="1"/>
    <col min="6666" max="6666" width="6" customWidth="1"/>
    <col min="6667" max="6667" width="5.625" customWidth="1"/>
    <col min="6668" max="6668" width="3.625" customWidth="1"/>
    <col min="6669" max="6669" width="3.375" customWidth="1"/>
    <col min="6670" max="6670" width="4.125" customWidth="1"/>
    <col min="6671" max="6671" width="3.75" customWidth="1"/>
    <col min="6672" max="6672" width="4.25" customWidth="1"/>
    <col min="6673" max="6673" width="4.375" customWidth="1"/>
    <col min="6674" max="6674" width="4" customWidth="1"/>
    <col min="6675" max="6675" width="4.875" customWidth="1"/>
    <col min="6676" max="6681" width="3.625" customWidth="1"/>
    <col min="6682" max="6687" width="4.125" customWidth="1"/>
    <col min="6688" max="6693" width="3.125" customWidth="1"/>
    <col min="6694" max="6711" width="3.625" customWidth="1"/>
    <col min="6913" max="6913" width="3.75" customWidth="1"/>
    <col min="6918" max="6918" width="5.375" customWidth="1"/>
    <col min="6919" max="6919" width="5" customWidth="1"/>
    <col min="6922" max="6922" width="6" customWidth="1"/>
    <col min="6923" max="6923" width="5.625" customWidth="1"/>
    <col min="6924" max="6924" width="3.625" customWidth="1"/>
    <col min="6925" max="6925" width="3.375" customWidth="1"/>
    <col min="6926" max="6926" width="4.125" customWidth="1"/>
    <col min="6927" max="6927" width="3.75" customWidth="1"/>
    <col min="6928" max="6928" width="4.25" customWidth="1"/>
    <col min="6929" max="6929" width="4.375" customWidth="1"/>
    <col min="6930" max="6930" width="4" customWidth="1"/>
    <col min="6931" max="6931" width="4.875" customWidth="1"/>
    <col min="6932" max="6937" width="3.625" customWidth="1"/>
    <col min="6938" max="6943" width="4.125" customWidth="1"/>
    <col min="6944" max="6949" width="3.125" customWidth="1"/>
    <col min="6950" max="6967" width="3.625" customWidth="1"/>
    <col min="7169" max="7169" width="3.75" customWidth="1"/>
    <col min="7174" max="7174" width="5.375" customWidth="1"/>
    <col min="7175" max="7175" width="5" customWidth="1"/>
    <col min="7178" max="7178" width="6" customWidth="1"/>
    <col min="7179" max="7179" width="5.625" customWidth="1"/>
    <col min="7180" max="7180" width="3.625" customWidth="1"/>
    <col min="7181" max="7181" width="3.375" customWidth="1"/>
    <col min="7182" max="7182" width="4.125" customWidth="1"/>
    <col min="7183" max="7183" width="3.75" customWidth="1"/>
    <col min="7184" max="7184" width="4.25" customWidth="1"/>
    <col min="7185" max="7185" width="4.375" customWidth="1"/>
    <col min="7186" max="7186" width="4" customWidth="1"/>
    <col min="7187" max="7187" width="4.875" customWidth="1"/>
    <col min="7188" max="7193" width="3.625" customWidth="1"/>
    <col min="7194" max="7199" width="4.125" customWidth="1"/>
    <col min="7200" max="7205" width="3.125" customWidth="1"/>
    <col min="7206" max="7223" width="3.625" customWidth="1"/>
    <col min="7425" max="7425" width="3.75" customWidth="1"/>
    <col min="7430" max="7430" width="5.375" customWidth="1"/>
    <col min="7431" max="7431" width="5" customWidth="1"/>
    <col min="7434" max="7434" width="6" customWidth="1"/>
    <col min="7435" max="7435" width="5.625" customWidth="1"/>
    <col min="7436" max="7436" width="3.625" customWidth="1"/>
    <col min="7437" max="7437" width="3.375" customWidth="1"/>
    <col min="7438" max="7438" width="4.125" customWidth="1"/>
    <col min="7439" max="7439" width="3.75" customWidth="1"/>
    <col min="7440" max="7440" width="4.25" customWidth="1"/>
    <col min="7441" max="7441" width="4.375" customWidth="1"/>
    <col min="7442" max="7442" width="4" customWidth="1"/>
    <col min="7443" max="7443" width="4.875" customWidth="1"/>
    <col min="7444" max="7449" width="3.625" customWidth="1"/>
    <col min="7450" max="7455" width="4.125" customWidth="1"/>
    <col min="7456" max="7461" width="3.125" customWidth="1"/>
    <col min="7462" max="7479" width="3.625" customWidth="1"/>
    <col min="7681" max="7681" width="3.75" customWidth="1"/>
    <col min="7686" max="7686" width="5.375" customWidth="1"/>
    <col min="7687" max="7687" width="5" customWidth="1"/>
    <col min="7690" max="7690" width="6" customWidth="1"/>
    <col min="7691" max="7691" width="5.625" customWidth="1"/>
    <col min="7692" max="7692" width="3.625" customWidth="1"/>
    <col min="7693" max="7693" width="3.375" customWidth="1"/>
    <col min="7694" max="7694" width="4.125" customWidth="1"/>
    <col min="7695" max="7695" width="3.75" customWidth="1"/>
    <col min="7696" max="7696" width="4.25" customWidth="1"/>
    <col min="7697" max="7697" width="4.375" customWidth="1"/>
    <col min="7698" max="7698" width="4" customWidth="1"/>
    <col min="7699" max="7699" width="4.875" customWidth="1"/>
    <col min="7700" max="7705" width="3.625" customWidth="1"/>
    <col min="7706" max="7711" width="4.125" customWidth="1"/>
    <col min="7712" max="7717" width="3.125" customWidth="1"/>
    <col min="7718" max="7735" width="3.625" customWidth="1"/>
    <col min="7937" max="7937" width="3.75" customWidth="1"/>
    <col min="7942" max="7942" width="5.375" customWidth="1"/>
    <col min="7943" max="7943" width="5" customWidth="1"/>
    <col min="7946" max="7946" width="6" customWidth="1"/>
    <col min="7947" max="7947" width="5.625" customWidth="1"/>
    <col min="7948" max="7948" width="3.625" customWidth="1"/>
    <col min="7949" max="7949" width="3.375" customWidth="1"/>
    <col min="7950" max="7950" width="4.125" customWidth="1"/>
    <col min="7951" max="7951" width="3.75" customWidth="1"/>
    <col min="7952" max="7952" width="4.25" customWidth="1"/>
    <col min="7953" max="7953" width="4.375" customWidth="1"/>
    <col min="7954" max="7954" width="4" customWidth="1"/>
    <col min="7955" max="7955" width="4.875" customWidth="1"/>
    <col min="7956" max="7961" width="3.625" customWidth="1"/>
    <col min="7962" max="7967" width="4.125" customWidth="1"/>
    <col min="7968" max="7973" width="3.125" customWidth="1"/>
    <col min="7974" max="7991" width="3.625" customWidth="1"/>
    <col min="8193" max="8193" width="3.75" customWidth="1"/>
    <col min="8198" max="8198" width="5.375" customWidth="1"/>
    <col min="8199" max="8199" width="5" customWidth="1"/>
    <col min="8202" max="8202" width="6" customWidth="1"/>
    <col min="8203" max="8203" width="5.625" customWidth="1"/>
    <col min="8204" max="8204" width="3.625" customWidth="1"/>
    <col min="8205" max="8205" width="3.375" customWidth="1"/>
    <col min="8206" max="8206" width="4.125" customWidth="1"/>
    <col min="8207" max="8207" width="3.75" customWidth="1"/>
    <col min="8208" max="8208" width="4.25" customWidth="1"/>
    <col min="8209" max="8209" width="4.375" customWidth="1"/>
    <col min="8210" max="8210" width="4" customWidth="1"/>
    <col min="8211" max="8211" width="4.875" customWidth="1"/>
    <col min="8212" max="8217" width="3.625" customWidth="1"/>
    <col min="8218" max="8223" width="4.125" customWidth="1"/>
    <col min="8224" max="8229" width="3.125" customWidth="1"/>
    <col min="8230" max="8247" width="3.625" customWidth="1"/>
    <col min="8449" max="8449" width="3.75" customWidth="1"/>
    <col min="8454" max="8454" width="5.375" customWidth="1"/>
    <col min="8455" max="8455" width="5" customWidth="1"/>
    <col min="8458" max="8458" width="6" customWidth="1"/>
    <col min="8459" max="8459" width="5.625" customWidth="1"/>
    <col min="8460" max="8460" width="3.625" customWidth="1"/>
    <col min="8461" max="8461" width="3.375" customWidth="1"/>
    <col min="8462" max="8462" width="4.125" customWidth="1"/>
    <col min="8463" max="8463" width="3.75" customWidth="1"/>
    <col min="8464" max="8464" width="4.25" customWidth="1"/>
    <col min="8465" max="8465" width="4.375" customWidth="1"/>
    <col min="8466" max="8466" width="4" customWidth="1"/>
    <col min="8467" max="8467" width="4.875" customWidth="1"/>
    <col min="8468" max="8473" width="3.625" customWidth="1"/>
    <col min="8474" max="8479" width="4.125" customWidth="1"/>
    <col min="8480" max="8485" width="3.125" customWidth="1"/>
    <col min="8486" max="8503" width="3.625" customWidth="1"/>
    <col min="8705" max="8705" width="3.75" customWidth="1"/>
    <col min="8710" max="8710" width="5.375" customWidth="1"/>
    <col min="8711" max="8711" width="5" customWidth="1"/>
    <col min="8714" max="8714" width="6" customWidth="1"/>
    <col min="8715" max="8715" width="5.625" customWidth="1"/>
    <col min="8716" max="8716" width="3.625" customWidth="1"/>
    <col min="8717" max="8717" width="3.375" customWidth="1"/>
    <col min="8718" max="8718" width="4.125" customWidth="1"/>
    <col min="8719" max="8719" width="3.75" customWidth="1"/>
    <col min="8720" max="8720" width="4.25" customWidth="1"/>
    <col min="8721" max="8721" width="4.375" customWidth="1"/>
    <col min="8722" max="8722" width="4" customWidth="1"/>
    <col min="8723" max="8723" width="4.875" customWidth="1"/>
    <col min="8724" max="8729" width="3.625" customWidth="1"/>
    <col min="8730" max="8735" width="4.125" customWidth="1"/>
    <col min="8736" max="8741" width="3.125" customWidth="1"/>
    <col min="8742" max="8759" width="3.625" customWidth="1"/>
    <col min="8961" max="8961" width="3.75" customWidth="1"/>
    <col min="8966" max="8966" width="5.375" customWidth="1"/>
    <col min="8967" max="8967" width="5" customWidth="1"/>
    <col min="8970" max="8970" width="6" customWidth="1"/>
    <col min="8971" max="8971" width="5.625" customWidth="1"/>
    <col min="8972" max="8972" width="3.625" customWidth="1"/>
    <col min="8973" max="8973" width="3.375" customWidth="1"/>
    <col min="8974" max="8974" width="4.125" customWidth="1"/>
    <col min="8975" max="8975" width="3.75" customWidth="1"/>
    <col min="8976" max="8976" width="4.25" customWidth="1"/>
    <col min="8977" max="8977" width="4.375" customWidth="1"/>
    <col min="8978" max="8978" width="4" customWidth="1"/>
    <col min="8979" max="8979" width="4.875" customWidth="1"/>
    <col min="8980" max="8985" width="3.625" customWidth="1"/>
    <col min="8986" max="8991" width="4.125" customWidth="1"/>
    <col min="8992" max="8997" width="3.125" customWidth="1"/>
    <col min="8998" max="9015" width="3.625" customWidth="1"/>
    <col min="9217" max="9217" width="3.75" customWidth="1"/>
    <col min="9222" max="9222" width="5.375" customWidth="1"/>
    <col min="9223" max="9223" width="5" customWidth="1"/>
    <col min="9226" max="9226" width="6" customWidth="1"/>
    <col min="9227" max="9227" width="5.625" customWidth="1"/>
    <col min="9228" max="9228" width="3.625" customWidth="1"/>
    <col min="9229" max="9229" width="3.375" customWidth="1"/>
    <col min="9230" max="9230" width="4.125" customWidth="1"/>
    <col min="9231" max="9231" width="3.75" customWidth="1"/>
    <col min="9232" max="9232" width="4.25" customWidth="1"/>
    <col min="9233" max="9233" width="4.375" customWidth="1"/>
    <col min="9234" max="9234" width="4" customWidth="1"/>
    <col min="9235" max="9235" width="4.875" customWidth="1"/>
    <col min="9236" max="9241" width="3.625" customWidth="1"/>
    <col min="9242" max="9247" width="4.125" customWidth="1"/>
    <col min="9248" max="9253" width="3.125" customWidth="1"/>
    <col min="9254" max="9271" width="3.625" customWidth="1"/>
    <col min="9473" max="9473" width="3.75" customWidth="1"/>
    <col min="9478" max="9478" width="5.375" customWidth="1"/>
    <col min="9479" max="9479" width="5" customWidth="1"/>
    <col min="9482" max="9482" width="6" customWidth="1"/>
    <col min="9483" max="9483" width="5.625" customWidth="1"/>
    <col min="9484" max="9484" width="3.625" customWidth="1"/>
    <col min="9485" max="9485" width="3.375" customWidth="1"/>
    <col min="9486" max="9486" width="4.125" customWidth="1"/>
    <col min="9487" max="9487" width="3.75" customWidth="1"/>
    <col min="9488" max="9488" width="4.25" customWidth="1"/>
    <col min="9489" max="9489" width="4.375" customWidth="1"/>
    <col min="9490" max="9490" width="4" customWidth="1"/>
    <col min="9491" max="9491" width="4.875" customWidth="1"/>
    <col min="9492" max="9497" width="3.625" customWidth="1"/>
    <col min="9498" max="9503" width="4.125" customWidth="1"/>
    <col min="9504" max="9509" width="3.125" customWidth="1"/>
    <col min="9510" max="9527" width="3.625" customWidth="1"/>
    <col min="9729" max="9729" width="3.75" customWidth="1"/>
    <col min="9734" max="9734" width="5.375" customWidth="1"/>
    <col min="9735" max="9735" width="5" customWidth="1"/>
    <col min="9738" max="9738" width="6" customWidth="1"/>
    <col min="9739" max="9739" width="5.625" customWidth="1"/>
    <col min="9740" max="9740" width="3.625" customWidth="1"/>
    <col min="9741" max="9741" width="3.375" customWidth="1"/>
    <col min="9742" max="9742" width="4.125" customWidth="1"/>
    <col min="9743" max="9743" width="3.75" customWidth="1"/>
    <col min="9744" max="9744" width="4.25" customWidth="1"/>
    <col min="9745" max="9745" width="4.375" customWidth="1"/>
    <col min="9746" max="9746" width="4" customWidth="1"/>
    <col min="9747" max="9747" width="4.875" customWidth="1"/>
    <col min="9748" max="9753" width="3.625" customWidth="1"/>
    <col min="9754" max="9759" width="4.125" customWidth="1"/>
    <col min="9760" max="9765" width="3.125" customWidth="1"/>
    <col min="9766" max="9783" width="3.625" customWidth="1"/>
    <col min="9985" max="9985" width="3.75" customWidth="1"/>
    <col min="9990" max="9990" width="5.375" customWidth="1"/>
    <col min="9991" max="9991" width="5" customWidth="1"/>
    <col min="9994" max="9994" width="6" customWidth="1"/>
    <col min="9995" max="9995" width="5.625" customWidth="1"/>
    <col min="9996" max="9996" width="3.625" customWidth="1"/>
    <col min="9997" max="9997" width="3.375" customWidth="1"/>
    <col min="9998" max="9998" width="4.125" customWidth="1"/>
    <col min="9999" max="9999" width="3.75" customWidth="1"/>
    <col min="10000" max="10000" width="4.25" customWidth="1"/>
    <col min="10001" max="10001" width="4.375" customWidth="1"/>
    <col min="10002" max="10002" width="4" customWidth="1"/>
    <col min="10003" max="10003" width="4.875" customWidth="1"/>
    <col min="10004" max="10009" width="3.625" customWidth="1"/>
    <col min="10010" max="10015" width="4.125" customWidth="1"/>
    <col min="10016" max="10021" width="3.125" customWidth="1"/>
    <col min="10022" max="10039" width="3.625" customWidth="1"/>
    <col min="10241" max="10241" width="3.75" customWidth="1"/>
    <col min="10246" max="10246" width="5.375" customWidth="1"/>
    <col min="10247" max="10247" width="5" customWidth="1"/>
    <col min="10250" max="10250" width="6" customWidth="1"/>
    <col min="10251" max="10251" width="5.625" customWidth="1"/>
    <col min="10252" max="10252" width="3.625" customWidth="1"/>
    <col min="10253" max="10253" width="3.375" customWidth="1"/>
    <col min="10254" max="10254" width="4.125" customWidth="1"/>
    <col min="10255" max="10255" width="3.75" customWidth="1"/>
    <col min="10256" max="10256" width="4.25" customWidth="1"/>
    <col min="10257" max="10257" width="4.375" customWidth="1"/>
    <col min="10258" max="10258" width="4" customWidth="1"/>
    <col min="10259" max="10259" width="4.875" customWidth="1"/>
    <col min="10260" max="10265" width="3.625" customWidth="1"/>
    <col min="10266" max="10271" width="4.125" customWidth="1"/>
    <col min="10272" max="10277" width="3.125" customWidth="1"/>
    <col min="10278" max="10295" width="3.625" customWidth="1"/>
    <col min="10497" max="10497" width="3.75" customWidth="1"/>
    <col min="10502" max="10502" width="5.375" customWidth="1"/>
    <col min="10503" max="10503" width="5" customWidth="1"/>
    <col min="10506" max="10506" width="6" customWidth="1"/>
    <col min="10507" max="10507" width="5.625" customWidth="1"/>
    <col min="10508" max="10508" width="3.625" customWidth="1"/>
    <col min="10509" max="10509" width="3.375" customWidth="1"/>
    <col min="10510" max="10510" width="4.125" customWidth="1"/>
    <col min="10511" max="10511" width="3.75" customWidth="1"/>
    <col min="10512" max="10512" width="4.25" customWidth="1"/>
    <col min="10513" max="10513" width="4.375" customWidth="1"/>
    <col min="10514" max="10514" width="4" customWidth="1"/>
    <col min="10515" max="10515" width="4.875" customWidth="1"/>
    <col min="10516" max="10521" width="3.625" customWidth="1"/>
    <col min="10522" max="10527" width="4.125" customWidth="1"/>
    <col min="10528" max="10533" width="3.125" customWidth="1"/>
    <col min="10534" max="10551" width="3.625" customWidth="1"/>
    <col min="10753" max="10753" width="3.75" customWidth="1"/>
    <col min="10758" max="10758" width="5.375" customWidth="1"/>
    <col min="10759" max="10759" width="5" customWidth="1"/>
    <col min="10762" max="10762" width="6" customWidth="1"/>
    <col min="10763" max="10763" width="5.625" customWidth="1"/>
    <col min="10764" max="10764" width="3.625" customWidth="1"/>
    <col min="10765" max="10765" width="3.375" customWidth="1"/>
    <col min="10766" max="10766" width="4.125" customWidth="1"/>
    <col min="10767" max="10767" width="3.75" customWidth="1"/>
    <col min="10768" max="10768" width="4.25" customWidth="1"/>
    <col min="10769" max="10769" width="4.375" customWidth="1"/>
    <col min="10770" max="10770" width="4" customWidth="1"/>
    <col min="10771" max="10771" width="4.875" customWidth="1"/>
    <col min="10772" max="10777" width="3.625" customWidth="1"/>
    <col min="10778" max="10783" width="4.125" customWidth="1"/>
    <col min="10784" max="10789" width="3.125" customWidth="1"/>
    <col min="10790" max="10807" width="3.625" customWidth="1"/>
    <col min="11009" max="11009" width="3.75" customWidth="1"/>
    <col min="11014" max="11014" width="5.375" customWidth="1"/>
    <col min="11015" max="11015" width="5" customWidth="1"/>
    <col min="11018" max="11018" width="6" customWidth="1"/>
    <col min="11019" max="11019" width="5.625" customWidth="1"/>
    <col min="11020" max="11020" width="3.625" customWidth="1"/>
    <col min="11021" max="11021" width="3.375" customWidth="1"/>
    <col min="11022" max="11022" width="4.125" customWidth="1"/>
    <col min="11023" max="11023" width="3.75" customWidth="1"/>
    <col min="11024" max="11024" width="4.25" customWidth="1"/>
    <col min="11025" max="11025" width="4.375" customWidth="1"/>
    <col min="11026" max="11026" width="4" customWidth="1"/>
    <col min="11027" max="11027" width="4.875" customWidth="1"/>
    <col min="11028" max="11033" width="3.625" customWidth="1"/>
    <col min="11034" max="11039" width="4.125" customWidth="1"/>
    <col min="11040" max="11045" width="3.125" customWidth="1"/>
    <col min="11046" max="11063" width="3.625" customWidth="1"/>
    <col min="11265" max="11265" width="3.75" customWidth="1"/>
    <col min="11270" max="11270" width="5.375" customWidth="1"/>
    <col min="11271" max="11271" width="5" customWidth="1"/>
    <col min="11274" max="11274" width="6" customWidth="1"/>
    <col min="11275" max="11275" width="5.625" customWidth="1"/>
    <col min="11276" max="11276" width="3.625" customWidth="1"/>
    <col min="11277" max="11277" width="3.375" customWidth="1"/>
    <col min="11278" max="11278" width="4.125" customWidth="1"/>
    <col min="11279" max="11279" width="3.75" customWidth="1"/>
    <col min="11280" max="11280" width="4.25" customWidth="1"/>
    <col min="11281" max="11281" width="4.375" customWidth="1"/>
    <col min="11282" max="11282" width="4" customWidth="1"/>
    <col min="11283" max="11283" width="4.875" customWidth="1"/>
    <col min="11284" max="11289" width="3.625" customWidth="1"/>
    <col min="11290" max="11295" width="4.125" customWidth="1"/>
    <col min="11296" max="11301" width="3.125" customWidth="1"/>
    <col min="11302" max="11319" width="3.625" customWidth="1"/>
    <col min="11521" max="11521" width="3.75" customWidth="1"/>
    <col min="11526" max="11526" width="5.375" customWidth="1"/>
    <col min="11527" max="11527" width="5" customWidth="1"/>
    <col min="11530" max="11530" width="6" customWidth="1"/>
    <col min="11531" max="11531" width="5.625" customWidth="1"/>
    <col min="11532" max="11532" width="3.625" customWidth="1"/>
    <col min="11533" max="11533" width="3.375" customWidth="1"/>
    <col min="11534" max="11534" width="4.125" customWidth="1"/>
    <col min="11535" max="11535" width="3.75" customWidth="1"/>
    <col min="11536" max="11536" width="4.25" customWidth="1"/>
    <col min="11537" max="11537" width="4.375" customWidth="1"/>
    <col min="11538" max="11538" width="4" customWidth="1"/>
    <col min="11539" max="11539" width="4.875" customWidth="1"/>
    <col min="11540" max="11545" width="3.625" customWidth="1"/>
    <col min="11546" max="11551" width="4.125" customWidth="1"/>
    <col min="11552" max="11557" width="3.125" customWidth="1"/>
    <col min="11558" max="11575" width="3.625" customWidth="1"/>
    <col min="11777" max="11777" width="3.75" customWidth="1"/>
    <col min="11782" max="11782" width="5.375" customWidth="1"/>
    <col min="11783" max="11783" width="5" customWidth="1"/>
    <col min="11786" max="11786" width="6" customWidth="1"/>
    <col min="11787" max="11787" width="5.625" customWidth="1"/>
    <col min="11788" max="11788" width="3.625" customWidth="1"/>
    <col min="11789" max="11789" width="3.375" customWidth="1"/>
    <col min="11790" max="11790" width="4.125" customWidth="1"/>
    <col min="11791" max="11791" width="3.75" customWidth="1"/>
    <col min="11792" max="11792" width="4.25" customWidth="1"/>
    <col min="11793" max="11793" width="4.375" customWidth="1"/>
    <col min="11794" max="11794" width="4" customWidth="1"/>
    <col min="11795" max="11795" width="4.875" customWidth="1"/>
    <col min="11796" max="11801" width="3.625" customWidth="1"/>
    <col min="11802" max="11807" width="4.125" customWidth="1"/>
    <col min="11808" max="11813" width="3.125" customWidth="1"/>
    <col min="11814" max="11831" width="3.625" customWidth="1"/>
    <col min="12033" max="12033" width="3.75" customWidth="1"/>
    <col min="12038" max="12038" width="5.375" customWidth="1"/>
    <col min="12039" max="12039" width="5" customWidth="1"/>
    <col min="12042" max="12042" width="6" customWidth="1"/>
    <col min="12043" max="12043" width="5.625" customWidth="1"/>
    <col min="12044" max="12044" width="3.625" customWidth="1"/>
    <col min="12045" max="12045" width="3.375" customWidth="1"/>
    <col min="12046" max="12046" width="4.125" customWidth="1"/>
    <col min="12047" max="12047" width="3.75" customWidth="1"/>
    <col min="12048" max="12048" width="4.25" customWidth="1"/>
    <col min="12049" max="12049" width="4.375" customWidth="1"/>
    <col min="12050" max="12050" width="4" customWidth="1"/>
    <col min="12051" max="12051" width="4.875" customWidth="1"/>
    <col min="12052" max="12057" width="3.625" customWidth="1"/>
    <col min="12058" max="12063" width="4.125" customWidth="1"/>
    <col min="12064" max="12069" width="3.125" customWidth="1"/>
    <col min="12070" max="12087" width="3.625" customWidth="1"/>
    <col min="12289" max="12289" width="3.75" customWidth="1"/>
    <col min="12294" max="12294" width="5.375" customWidth="1"/>
    <col min="12295" max="12295" width="5" customWidth="1"/>
    <col min="12298" max="12298" width="6" customWidth="1"/>
    <col min="12299" max="12299" width="5.625" customWidth="1"/>
    <col min="12300" max="12300" width="3.625" customWidth="1"/>
    <col min="12301" max="12301" width="3.375" customWidth="1"/>
    <col min="12302" max="12302" width="4.125" customWidth="1"/>
    <col min="12303" max="12303" width="3.75" customWidth="1"/>
    <col min="12304" max="12304" width="4.25" customWidth="1"/>
    <col min="12305" max="12305" width="4.375" customWidth="1"/>
    <col min="12306" max="12306" width="4" customWidth="1"/>
    <col min="12307" max="12307" width="4.875" customWidth="1"/>
    <col min="12308" max="12313" width="3.625" customWidth="1"/>
    <col min="12314" max="12319" width="4.125" customWidth="1"/>
    <col min="12320" max="12325" width="3.125" customWidth="1"/>
    <col min="12326" max="12343" width="3.625" customWidth="1"/>
    <col min="12545" max="12545" width="3.75" customWidth="1"/>
    <col min="12550" max="12550" width="5.375" customWidth="1"/>
    <col min="12551" max="12551" width="5" customWidth="1"/>
    <col min="12554" max="12554" width="6" customWidth="1"/>
    <col min="12555" max="12555" width="5.625" customWidth="1"/>
    <col min="12556" max="12556" width="3.625" customWidth="1"/>
    <col min="12557" max="12557" width="3.375" customWidth="1"/>
    <col min="12558" max="12558" width="4.125" customWidth="1"/>
    <col min="12559" max="12559" width="3.75" customWidth="1"/>
    <col min="12560" max="12560" width="4.25" customWidth="1"/>
    <col min="12561" max="12561" width="4.375" customWidth="1"/>
    <col min="12562" max="12562" width="4" customWidth="1"/>
    <col min="12563" max="12563" width="4.875" customWidth="1"/>
    <col min="12564" max="12569" width="3.625" customWidth="1"/>
    <col min="12570" max="12575" width="4.125" customWidth="1"/>
    <col min="12576" max="12581" width="3.125" customWidth="1"/>
    <col min="12582" max="12599" width="3.625" customWidth="1"/>
    <col min="12801" max="12801" width="3.75" customWidth="1"/>
    <col min="12806" max="12806" width="5.375" customWidth="1"/>
    <col min="12807" max="12807" width="5" customWidth="1"/>
    <col min="12810" max="12810" width="6" customWidth="1"/>
    <col min="12811" max="12811" width="5.625" customWidth="1"/>
    <col min="12812" max="12812" width="3.625" customWidth="1"/>
    <col min="12813" max="12813" width="3.375" customWidth="1"/>
    <col min="12814" max="12814" width="4.125" customWidth="1"/>
    <col min="12815" max="12815" width="3.75" customWidth="1"/>
    <col min="12816" max="12816" width="4.25" customWidth="1"/>
    <col min="12817" max="12817" width="4.375" customWidth="1"/>
    <col min="12818" max="12818" width="4" customWidth="1"/>
    <col min="12819" max="12819" width="4.875" customWidth="1"/>
    <col min="12820" max="12825" width="3.625" customWidth="1"/>
    <col min="12826" max="12831" width="4.125" customWidth="1"/>
    <col min="12832" max="12837" width="3.125" customWidth="1"/>
    <col min="12838" max="12855" width="3.625" customWidth="1"/>
    <col min="13057" max="13057" width="3.75" customWidth="1"/>
    <col min="13062" max="13062" width="5.375" customWidth="1"/>
    <col min="13063" max="13063" width="5" customWidth="1"/>
    <col min="13066" max="13066" width="6" customWidth="1"/>
    <col min="13067" max="13067" width="5.625" customWidth="1"/>
    <col min="13068" max="13068" width="3.625" customWidth="1"/>
    <col min="13069" max="13069" width="3.375" customWidth="1"/>
    <col min="13070" max="13070" width="4.125" customWidth="1"/>
    <col min="13071" max="13071" width="3.75" customWidth="1"/>
    <col min="13072" max="13072" width="4.25" customWidth="1"/>
    <col min="13073" max="13073" width="4.375" customWidth="1"/>
    <col min="13074" max="13074" width="4" customWidth="1"/>
    <col min="13075" max="13075" width="4.875" customWidth="1"/>
    <col min="13076" max="13081" width="3.625" customWidth="1"/>
    <col min="13082" max="13087" width="4.125" customWidth="1"/>
    <col min="13088" max="13093" width="3.125" customWidth="1"/>
    <col min="13094" max="13111" width="3.625" customWidth="1"/>
    <col min="13313" max="13313" width="3.75" customWidth="1"/>
    <col min="13318" max="13318" width="5.375" customWidth="1"/>
    <col min="13319" max="13319" width="5" customWidth="1"/>
    <col min="13322" max="13322" width="6" customWidth="1"/>
    <col min="13323" max="13323" width="5.625" customWidth="1"/>
    <col min="13324" max="13324" width="3.625" customWidth="1"/>
    <col min="13325" max="13325" width="3.375" customWidth="1"/>
    <col min="13326" max="13326" width="4.125" customWidth="1"/>
    <col min="13327" max="13327" width="3.75" customWidth="1"/>
    <col min="13328" max="13328" width="4.25" customWidth="1"/>
    <col min="13329" max="13329" width="4.375" customWidth="1"/>
    <col min="13330" max="13330" width="4" customWidth="1"/>
    <col min="13331" max="13331" width="4.875" customWidth="1"/>
    <col min="13332" max="13337" width="3.625" customWidth="1"/>
    <col min="13338" max="13343" width="4.125" customWidth="1"/>
    <col min="13344" max="13349" width="3.125" customWidth="1"/>
    <col min="13350" max="13367" width="3.625" customWidth="1"/>
    <col min="13569" max="13569" width="3.75" customWidth="1"/>
    <col min="13574" max="13574" width="5.375" customWidth="1"/>
    <col min="13575" max="13575" width="5" customWidth="1"/>
    <col min="13578" max="13578" width="6" customWidth="1"/>
    <col min="13579" max="13579" width="5.625" customWidth="1"/>
    <col min="13580" max="13580" width="3.625" customWidth="1"/>
    <col min="13581" max="13581" width="3.375" customWidth="1"/>
    <col min="13582" max="13582" width="4.125" customWidth="1"/>
    <col min="13583" max="13583" width="3.75" customWidth="1"/>
    <col min="13584" max="13584" width="4.25" customWidth="1"/>
    <col min="13585" max="13585" width="4.375" customWidth="1"/>
    <col min="13586" max="13586" width="4" customWidth="1"/>
    <col min="13587" max="13587" width="4.875" customWidth="1"/>
    <col min="13588" max="13593" width="3.625" customWidth="1"/>
    <col min="13594" max="13599" width="4.125" customWidth="1"/>
    <col min="13600" max="13605" width="3.125" customWidth="1"/>
    <col min="13606" max="13623" width="3.625" customWidth="1"/>
    <col min="13825" max="13825" width="3.75" customWidth="1"/>
    <col min="13830" max="13830" width="5.375" customWidth="1"/>
    <col min="13831" max="13831" width="5" customWidth="1"/>
    <col min="13834" max="13834" width="6" customWidth="1"/>
    <col min="13835" max="13835" width="5.625" customWidth="1"/>
    <col min="13836" max="13836" width="3.625" customWidth="1"/>
    <col min="13837" max="13837" width="3.375" customWidth="1"/>
    <col min="13838" max="13838" width="4.125" customWidth="1"/>
    <col min="13839" max="13839" width="3.75" customWidth="1"/>
    <col min="13840" max="13840" width="4.25" customWidth="1"/>
    <col min="13841" max="13841" width="4.375" customWidth="1"/>
    <col min="13842" max="13842" width="4" customWidth="1"/>
    <col min="13843" max="13843" width="4.875" customWidth="1"/>
    <col min="13844" max="13849" width="3.625" customWidth="1"/>
    <col min="13850" max="13855" width="4.125" customWidth="1"/>
    <col min="13856" max="13861" width="3.125" customWidth="1"/>
    <col min="13862" max="13879" width="3.625" customWidth="1"/>
    <col min="14081" max="14081" width="3.75" customWidth="1"/>
    <col min="14086" max="14086" width="5.375" customWidth="1"/>
    <col min="14087" max="14087" width="5" customWidth="1"/>
    <col min="14090" max="14090" width="6" customWidth="1"/>
    <col min="14091" max="14091" width="5.625" customWidth="1"/>
    <col min="14092" max="14092" width="3.625" customWidth="1"/>
    <col min="14093" max="14093" width="3.375" customWidth="1"/>
    <col min="14094" max="14094" width="4.125" customWidth="1"/>
    <col min="14095" max="14095" width="3.75" customWidth="1"/>
    <col min="14096" max="14096" width="4.25" customWidth="1"/>
    <col min="14097" max="14097" width="4.375" customWidth="1"/>
    <col min="14098" max="14098" width="4" customWidth="1"/>
    <col min="14099" max="14099" width="4.875" customWidth="1"/>
    <col min="14100" max="14105" width="3.625" customWidth="1"/>
    <col min="14106" max="14111" width="4.125" customWidth="1"/>
    <col min="14112" max="14117" width="3.125" customWidth="1"/>
    <col min="14118" max="14135" width="3.625" customWidth="1"/>
    <col min="14337" max="14337" width="3.75" customWidth="1"/>
    <col min="14342" max="14342" width="5.375" customWidth="1"/>
    <col min="14343" max="14343" width="5" customWidth="1"/>
    <col min="14346" max="14346" width="6" customWidth="1"/>
    <col min="14347" max="14347" width="5.625" customWidth="1"/>
    <col min="14348" max="14348" width="3.625" customWidth="1"/>
    <col min="14349" max="14349" width="3.375" customWidth="1"/>
    <col min="14350" max="14350" width="4.125" customWidth="1"/>
    <col min="14351" max="14351" width="3.75" customWidth="1"/>
    <col min="14352" max="14352" width="4.25" customWidth="1"/>
    <col min="14353" max="14353" width="4.375" customWidth="1"/>
    <col min="14354" max="14354" width="4" customWidth="1"/>
    <col min="14355" max="14355" width="4.875" customWidth="1"/>
    <col min="14356" max="14361" width="3.625" customWidth="1"/>
    <col min="14362" max="14367" width="4.125" customWidth="1"/>
    <col min="14368" max="14373" width="3.125" customWidth="1"/>
    <col min="14374" max="14391" width="3.625" customWidth="1"/>
    <col min="14593" max="14593" width="3.75" customWidth="1"/>
    <col min="14598" max="14598" width="5.375" customWidth="1"/>
    <col min="14599" max="14599" width="5" customWidth="1"/>
    <col min="14602" max="14602" width="6" customWidth="1"/>
    <col min="14603" max="14603" width="5.625" customWidth="1"/>
    <col min="14604" max="14604" width="3.625" customWidth="1"/>
    <col min="14605" max="14605" width="3.375" customWidth="1"/>
    <col min="14606" max="14606" width="4.125" customWidth="1"/>
    <col min="14607" max="14607" width="3.75" customWidth="1"/>
    <col min="14608" max="14608" width="4.25" customWidth="1"/>
    <col min="14609" max="14609" width="4.375" customWidth="1"/>
    <col min="14610" max="14610" width="4" customWidth="1"/>
    <col min="14611" max="14611" width="4.875" customWidth="1"/>
    <col min="14612" max="14617" width="3.625" customWidth="1"/>
    <col min="14618" max="14623" width="4.125" customWidth="1"/>
    <col min="14624" max="14629" width="3.125" customWidth="1"/>
    <col min="14630" max="14647" width="3.625" customWidth="1"/>
    <col min="14849" max="14849" width="3.75" customWidth="1"/>
    <col min="14854" max="14854" width="5.375" customWidth="1"/>
    <col min="14855" max="14855" width="5" customWidth="1"/>
    <col min="14858" max="14858" width="6" customWidth="1"/>
    <col min="14859" max="14859" width="5.625" customWidth="1"/>
    <col min="14860" max="14860" width="3.625" customWidth="1"/>
    <col min="14861" max="14861" width="3.375" customWidth="1"/>
    <col min="14862" max="14862" width="4.125" customWidth="1"/>
    <col min="14863" max="14863" width="3.75" customWidth="1"/>
    <col min="14864" max="14864" width="4.25" customWidth="1"/>
    <col min="14865" max="14865" width="4.375" customWidth="1"/>
    <col min="14866" max="14866" width="4" customWidth="1"/>
    <col min="14867" max="14867" width="4.875" customWidth="1"/>
    <col min="14868" max="14873" width="3.625" customWidth="1"/>
    <col min="14874" max="14879" width="4.125" customWidth="1"/>
    <col min="14880" max="14885" width="3.125" customWidth="1"/>
    <col min="14886" max="14903" width="3.625" customWidth="1"/>
    <col min="15105" max="15105" width="3.75" customWidth="1"/>
    <col min="15110" max="15110" width="5.375" customWidth="1"/>
    <col min="15111" max="15111" width="5" customWidth="1"/>
    <col min="15114" max="15114" width="6" customWidth="1"/>
    <col min="15115" max="15115" width="5.625" customWidth="1"/>
    <col min="15116" max="15116" width="3.625" customWidth="1"/>
    <col min="15117" max="15117" width="3.375" customWidth="1"/>
    <col min="15118" max="15118" width="4.125" customWidth="1"/>
    <col min="15119" max="15119" width="3.75" customWidth="1"/>
    <col min="15120" max="15120" width="4.25" customWidth="1"/>
    <col min="15121" max="15121" width="4.375" customWidth="1"/>
    <col min="15122" max="15122" width="4" customWidth="1"/>
    <col min="15123" max="15123" width="4.875" customWidth="1"/>
    <col min="15124" max="15129" width="3.625" customWidth="1"/>
    <col min="15130" max="15135" width="4.125" customWidth="1"/>
    <col min="15136" max="15141" width="3.125" customWidth="1"/>
    <col min="15142" max="15159" width="3.625" customWidth="1"/>
    <col min="15361" max="15361" width="3.75" customWidth="1"/>
    <col min="15366" max="15366" width="5.375" customWidth="1"/>
    <col min="15367" max="15367" width="5" customWidth="1"/>
    <col min="15370" max="15370" width="6" customWidth="1"/>
    <col min="15371" max="15371" width="5.625" customWidth="1"/>
    <col min="15372" max="15372" width="3.625" customWidth="1"/>
    <col min="15373" max="15373" width="3.375" customWidth="1"/>
    <col min="15374" max="15374" width="4.125" customWidth="1"/>
    <col min="15375" max="15375" width="3.75" customWidth="1"/>
    <col min="15376" max="15376" width="4.25" customWidth="1"/>
    <col min="15377" max="15377" width="4.375" customWidth="1"/>
    <col min="15378" max="15378" width="4" customWidth="1"/>
    <col min="15379" max="15379" width="4.875" customWidth="1"/>
    <col min="15380" max="15385" width="3.625" customWidth="1"/>
    <col min="15386" max="15391" width="4.125" customWidth="1"/>
    <col min="15392" max="15397" width="3.125" customWidth="1"/>
    <col min="15398" max="15415" width="3.625" customWidth="1"/>
    <col min="15617" max="15617" width="3.75" customWidth="1"/>
    <col min="15622" max="15622" width="5.375" customWidth="1"/>
    <col min="15623" max="15623" width="5" customWidth="1"/>
    <col min="15626" max="15626" width="6" customWidth="1"/>
    <col min="15627" max="15627" width="5.625" customWidth="1"/>
    <col min="15628" max="15628" width="3.625" customWidth="1"/>
    <col min="15629" max="15629" width="3.375" customWidth="1"/>
    <col min="15630" max="15630" width="4.125" customWidth="1"/>
    <col min="15631" max="15631" width="3.75" customWidth="1"/>
    <col min="15632" max="15632" width="4.25" customWidth="1"/>
    <col min="15633" max="15633" width="4.375" customWidth="1"/>
    <col min="15634" max="15634" width="4" customWidth="1"/>
    <col min="15635" max="15635" width="4.875" customWidth="1"/>
    <col min="15636" max="15641" width="3.625" customWidth="1"/>
    <col min="15642" max="15647" width="4.125" customWidth="1"/>
    <col min="15648" max="15653" width="3.125" customWidth="1"/>
    <col min="15654" max="15671" width="3.625" customWidth="1"/>
    <col min="15873" max="15873" width="3.75" customWidth="1"/>
    <col min="15878" max="15878" width="5.375" customWidth="1"/>
    <col min="15879" max="15879" width="5" customWidth="1"/>
    <col min="15882" max="15882" width="6" customWidth="1"/>
    <col min="15883" max="15883" width="5.625" customWidth="1"/>
    <col min="15884" max="15884" width="3.625" customWidth="1"/>
    <col min="15885" max="15885" width="3.375" customWidth="1"/>
    <col min="15886" max="15886" width="4.125" customWidth="1"/>
    <col min="15887" max="15887" width="3.75" customWidth="1"/>
    <col min="15888" max="15888" width="4.25" customWidth="1"/>
    <col min="15889" max="15889" width="4.375" customWidth="1"/>
    <col min="15890" max="15890" width="4" customWidth="1"/>
    <col min="15891" max="15891" width="4.875" customWidth="1"/>
    <col min="15892" max="15897" width="3.625" customWidth="1"/>
    <col min="15898" max="15903" width="4.125" customWidth="1"/>
    <col min="15904" max="15909" width="3.125" customWidth="1"/>
    <col min="15910" max="15927" width="3.625" customWidth="1"/>
    <col min="16129" max="16129" width="3.75" customWidth="1"/>
    <col min="16134" max="16134" width="5.375" customWidth="1"/>
    <col min="16135" max="16135" width="5" customWidth="1"/>
    <col min="16138" max="16138" width="6" customWidth="1"/>
    <col min="16139" max="16139" width="5.625" customWidth="1"/>
    <col min="16140" max="16140" width="3.625" customWidth="1"/>
    <col min="16141" max="16141" width="3.375" customWidth="1"/>
    <col min="16142" max="16142" width="4.125" customWidth="1"/>
    <col min="16143" max="16143" width="3.75" customWidth="1"/>
    <col min="16144" max="16144" width="4.25" customWidth="1"/>
    <col min="16145" max="16145" width="4.375" customWidth="1"/>
    <col min="16146" max="16146" width="4" customWidth="1"/>
    <col min="16147" max="16147" width="4.875" customWidth="1"/>
    <col min="16148" max="16153" width="3.625" customWidth="1"/>
    <col min="16154" max="16159" width="4.125" customWidth="1"/>
    <col min="16160" max="16165" width="3.125" customWidth="1"/>
    <col min="16166" max="16183" width="3.625" customWidth="1"/>
  </cols>
  <sheetData>
    <row r="1" spans="1:57" ht="9" customHeight="1">
      <c r="A1" s="448"/>
      <c r="B1" s="448"/>
      <c r="C1" s="448"/>
      <c r="D1" s="448"/>
      <c r="E1" s="448"/>
      <c r="F1" s="448"/>
      <c r="G1" s="448"/>
      <c r="H1" s="448"/>
      <c r="I1" s="448"/>
      <c r="J1" s="448"/>
      <c r="K1" s="448"/>
      <c r="L1" s="448"/>
      <c r="M1" s="448"/>
      <c r="N1" s="448"/>
      <c r="O1" s="448"/>
      <c r="P1" s="448"/>
      <c r="Q1" s="448"/>
      <c r="R1" s="448"/>
      <c r="S1" s="448"/>
    </row>
    <row r="2" spans="1:57" ht="9" customHeight="1">
      <c r="A2" s="448"/>
      <c r="B2" s="448"/>
      <c r="C2" s="448"/>
      <c r="D2" s="448"/>
      <c r="E2" s="448"/>
      <c r="F2" s="448"/>
      <c r="G2" s="448"/>
      <c r="H2" s="448"/>
      <c r="I2" s="448"/>
      <c r="J2" s="448"/>
      <c r="K2" s="448"/>
      <c r="L2" s="448"/>
      <c r="M2" s="448"/>
      <c r="N2" s="448"/>
      <c r="O2" s="448"/>
      <c r="P2" s="448"/>
      <c r="Q2" s="448"/>
      <c r="R2" s="448"/>
      <c r="S2" s="448"/>
      <c r="T2" s="386" t="s">
        <v>929</v>
      </c>
      <c r="U2" s="386"/>
      <c r="V2" s="386"/>
      <c r="W2" s="386"/>
      <c r="X2" s="386"/>
      <c r="Y2" s="386"/>
      <c r="Z2" s="369" t="s">
        <v>930</v>
      </c>
      <c r="AA2" s="369"/>
      <c r="AB2" s="369"/>
      <c r="AC2" s="369"/>
      <c r="AD2" s="369"/>
      <c r="AE2" s="369"/>
      <c r="AF2" s="599" t="s">
        <v>931</v>
      </c>
      <c r="AG2" s="599"/>
      <c r="AH2" s="599"/>
      <c r="AI2" s="599"/>
      <c r="AJ2" s="599"/>
      <c r="AK2" s="599"/>
      <c r="AL2" s="387" t="s">
        <v>932</v>
      </c>
      <c r="AM2" s="387"/>
      <c r="AN2" s="387"/>
      <c r="AO2" s="387"/>
      <c r="AP2" s="387"/>
      <c r="AQ2" s="387"/>
      <c r="AR2" s="386" t="s">
        <v>933</v>
      </c>
      <c r="AS2" s="386"/>
      <c r="AT2" s="386"/>
      <c r="AU2" s="386"/>
      <c r="AV2" s="386"/>
      <c r="AW2" s="386"/>
      <c r="AX2" s="369" t="s">
        <v>934</v>
      </c>
      <c r="AY2" s="369"/>
      <c r="AZ2" s="369"/>
      <c r="BA2" s="369"/>
      <c r="BB2" s="369"/>
      <c r="BC2" s="369"/>
      <c r="BD2" s="373" t="s">
        <v>645</v>
      </c>
      <c r="BE2" s="373"/>
    </row>
    <row r="3" spans="1:57" ht="9" customHeight="1">
      <c r="T3" s="386"/>
      <c r="U3" s="386"/>
      <c r="V3" s="386"/>
      <c r="W3" s="386"/>
      <c r="X3" s="386"/>
      <c r="Y3" s="386"/>
      <c r="Z3" s="369"/>
      <c r="AA3" s="369"/>
      <c r="AB3" s="369"/>
      <c r="AC3" s="369"/>
      <c r="AD3" s="369"/>
      <c r="AE3" s="369"/>
      <c r="AF3" s="599"/>
      <c r="AG3" s="599"/>
      <c r="AH3" s="599"/>
      <c r="AI3" s="599"/>
      <c r="AJ3" s="599"/>
      <c r="AK3" s="599"/>
      <c r="AL3" s="387"/>
      <c r="AM3" s="387"/>
      <c r="AN3" s="387"/>
      <c r="AO3" s="387"/>
      <c r="AP3" s="387"/>
      <c r="AQ3" s="387"/>
      <c r="AR3" s="386"/>
      <c r="AS3" s="386"/>
      <c r="AT3" s="386"/>
      <c r="AU3" s="386"/>
      <c r="AV3" s="386"/>
      <c r="AW3" s="386"/>
      <c r="AX3" s="369"/>
      <c r="AY3" s="369"/>
      <c r="AZ3" s="369"/>
      <c r="BA3" s="369"/>
      <c r="BB3" s="369"/>
      <c r="BC3" s="369"/>
      <c r="BD3" s="373"/>
      <c r="BE3" s="373"/>
    </row>
    <row r="4" spans="1:57" ht="9" customHeight="1">
      <c r="T4" s="386" t="s">
        <v>935</v>
      </c>
      <c r="U4" s="386"/>
      <c r="V4" s="386"/>
      <c r="W4" s="386"/>
      <c r="X4" s="386"/>
      <c r="Y4" s="386"/>
      <c r="Z4" s="369" t="s">
        <v>936</v>
      </c>
      <c r="AA4" s="369"/>
      <c r="AB4" s="369"/>
      <c r="AC4" s="369"/>
      <c r="AD4" s="369"/>
      <c r="AE4" s="369"/>
      <c r="AF4" s="599" t="s">
        <v>276</v>
      </c>
      <c r="AG4" s="599"/>
      <c r="AH4" s="599"/>
      <c r="AI4" s="599"/>
      <c r="AJ4" s="599"/>
      <c r="AK4" s="599"/>
      <c r="AL4" s="387" t="s">
        <v>937</v>
      </c>
      <c r="AM4" s="387"/>
      <c r="AN4" s="387"/>
      <c r="AO4" s="387"/>
      <c r="AP4" s="387"/>
      <c r="AQ4" s="387"/>
      <c r="AR4" s="386" t="s">
        <v>938</v>
      </c>
      <c r="AS4" s="386"/>
      <c r="AT4" s="386"/>
      <c r="AU4" s="386"/>
      <c r="AV4" s="386"/>
      <c r="AW4" s="386"/>
      <c r="AX4" s="369" t="s">
        <v>939</v>
      </c>
      <c r="AY4" s="369"/>
      <c r="AZ4" s="369"/>
      <c r="BA4" s="369"/>
      <c r="BB4" s="369"/>
      <c r="BC4" s="369"/>
      <c r="BD4" s="373" t="s">
        <v>645</v>
      </c>
      <c r="BE4" s="373"/>
    </row>
    <row r="5" spans="1:57" ht="9" customHeight="1">
      <c r="T5" s="386"/>
      <c r="U5" s="386"/>
      <c r="V5" s="386"/>
      <c r="W5" s="386"/>
      <c r="X5" s="386"/>
      <c r="Y5" s="386"/>
      <c r="Z5" s="369"/>
      <c r="AA5" s="369"/>
      <c r="AB5" s="369"/>
      <c r="AC5" s="369"/>
      <c r="AD5" s="369"/>
      <c r="AE5" s="369"/>
      <c r="AF5" s="599"/>
      <c r="AG5" s="599"/>
      <c r="AH5" s="599"/>
      <c r="AI5" s="599"/>
      <c r="AJ5" s="599"/>
      <c r="AK5" s="599"/>
      <c r="AL5" s="387"/>
      <c r="AM5" s="387"/>
      <c r="AN5" s="387"/>
      <c r="AO5" s="387"/>
      <c r="AP5" s="387"/>
      <c r="AQ5" s="387"/>
      <c r="AR5" s="386"/>
      <c r="AS5" s="386"/>
      <c r="AT5" s="386"/>
      <c r="AU5" s="386"/>
      <c r="AV5" s="386"/>
      <c r="AW5" s="386"/>
      <c r="AX5" s="369"/>
      <c r="AY5" s="369"/>
      <c r="AZ5" s="369"/>
      <c r="BA5" s="369"/>
      <c r="BB5" s="369"/>
      <c r="BC5" s="369"/>
      <c r="BD5" s="373"/>
      <c r="BE5" s="373"/>
    </row>
    <row r="6" spans="1:57" ht="9" customHeight="1">
      <c r="A6" s="644" t="s">
        <v>940</v>
      </c>
      <c r="B6" s="644"/>
      <c r="C6" s="644"/>
      <c r="D6" s="644"/>
      <c r="E6" s="644"/>
      <c r="F6" s="644"/>
      <c r="G6" s="644"/>
      <c r="H6" s="644"/>
      <c r="I6" s="644"/>
      <c r="J6" s="644"/>
      <c r="K6" s="644"/>
      <c r="L6" s="644"/>
      <c r="M6" s="644"/>
      <c r="N6" s="644"/>
      <c r="O6" s="644"/>
      <c r="P6" s="644"/>
      <c r="Q6" s="644"/>
      <c r="R6" s="644"/>
      <c r="S6" s="644"/>
      <c r="T6" s="386" t="s">
        <v>941</v>
      </c>
      <c r="U6" s="386"/>
      <c r="V6" s="386"/>
      <c r="W6" s="386"/>
      <c r="X6" s="386"/>
      <c r="Y6" s="386"/>
      <c r="Z6" s="369" t="s">
        <v>937</v>
      </c>
      <c r="AA6" s="369"/>
      <c r="AB6" s="369"/>
      <c r="AC6" s="369"/>
      <c r="AD6" s="369"/>
      <c r="AE6" s="369"/>
      <c r="AF6" s="599" t="s">
        <v>942</v>
      </c>
      <c r="AG6" s="599"/>
      <c r="AH6" s="599"/>
      <c r="AI6" s="599"/>
      <c r="AJ6" s="599"/>
      <c r="AK6" s="599"/>
      <c r="AL6" s="387" t="s">
        <v>939</v>
      </c>
      <c r="AM6" s="387"/>
      <c r="AN6" s="387"/>
      <c r="AO6" s="387"/>
      <c r="AP6" s="387"/>
      <c r="AQ6" s="387"/>
    </row>
    <row r="7" spans="1:57" ht="9" customHeight="1">
      <c r="A7" s="644"/>
      <c r="B7" s="644"/>
      <c r="C7" s="644"/>
      <c r="D7" s="644"/>
      <c r="E7" s="644"/>
      <c r="F7" s="644"/>
      <c r="G7" s="644"/>
      <c r="H7" s="644"/>
      <c r="I7" s="644"/>
      <c r="J7" s="644"/>
      <c r="K7" s="644"/>
      <c r="L7" s="644"/>
      <c r="M7" s="644"/>
      <c r="N7" s="644"/>
      <c r="O7" s="644"/>
      <c r="P7" s="644"/>
      <c r="Q7" s="644"/>
      <c r="R7" s="644"/>
      <c r="S7" s="644"/>
      <c r="T7" s="386"/>
      <c r="U7" s="386"/>
      <c r="V7" s="386"/>
      <c r="W7" s="386"/>
      <c r="X7" s="386"/>
      <c r="Y7" s="386"/>
      <c r="Z7" s="369"/>
      <c r="AA7" s="369"/>
      <c r="AB7" s="369"/>
      <c r="AC7" s="369"/>
      <c r="AD7" s="369"/>
      <c r="AE7" s="369"/>
      <c r="AF7" s="599"/>
      <c r="AG7" s="599"/>
      <c r="AH7" s="599"/>
      <c r="AI7" s="599"/>
      <c r="AJ7" s="599"/>
      <c r="AK7" s="599"/>
      <c r="AL7" s="387"/>
      <c r="AM7" s="387"/>
      <c r="AN7" s="387"/>
      <c r="AO7" s="387"/>
      <c r="AP7" s="387"/>
      <c r="AQ7" s="387"/>
    </row>
    <row r="8" spans="1:57" ht="9" customHeight="1">
      <c r="A8" s="343" t="s">
        <v>943</v>
      </c>
      <c r="B8" s="343"/>
      <c r="C8" s="343"/>
      <c r="D8" s="343"/>
      <c r="E8" s="343"/>
      <c r="F8" s="343"/>
      <c r="G8" s="343"/>
      <c r="H8" s="343"/>
      <c r="I8" s="343"/>
      <c r="J8" s="343"/>
      <c r="K8" s="343"/>
      <c r="L8" s="343"/>
      <c r="M8" s="343"/>
      <c r="N8" s="343"/>
      <c r="O8" s="343"/>
      <c r="P8" s="343"/>
      <c r="Q8" s="343"/>
      <c r="R8" s="343"/>
      <c r="S8" s="343"/>
      <c r="T8" s="386" t="s">
        <v>944</v>
      </c>
      <c r="U8" s="386"/>
      <c r="V8" s="386"/>
      <c r="W8" s="386"/>
      <c r="X8" s="386"/>
      <c r="Y8" s="386"/>
      <c r="Z8" s="369" t="s">
        <v>945</v>
      </c>
      <c r="AA8" s="369"/>
      <c r="AB8" s="369"/>
      <c r="AC8" s="369"/>
      <c r="AD8" s="369"/>
      <c r="AE8" s="369"/>
      <c r="AF8" s="599" t="s">
        <v>946</v>
      </c>
      <c r="AG8" s="599"/>
      <c r="AH8" s="599"/>
      <c r="AI8" s="599"/>
      <c r="AJ8" s="599"/>
      <c r="AK8" s="599"/>
      <c r="AL8" s="387" t="s">
        <v>947</v>
      </c>
      <c r="AM8" s="387"/>
      <c r="AN8" s="387"/>
      <c r="AO8" s="387"/>
      <c r="AP8" s="387"/>
      <c r="AQ8" s="387"/>
    </row>
    <row r="9" spans="1:57" ht="9" customHeight="1">
      <c r="A9" s="343"/>
      <c r="B9" s="343"/>
      <c r="C9" s="343"/>
      <c r="D9" s="343"/>
      <c r="E9" s="343"/>
      <c r="F9" s="343"/>
      <c r="G9" s="343"/>
      <c r="H9" s="343"/>
      <c r="I9" s="343"/>
      <c r="J9" s="343"/>
      <c r="K9" s="343"/>
      <c r="L9" s="343"/>
      <c r="M9" s="343"/>
      <c r="N9" s="343"/>
      <c r="O9" s="343"/>
      <c r="P9" s="343"/>
      <c r="Q9" s="343"/>
      <c r="R9" s="343"/>
      <c r="S9" s="343"/>
      <c r="T9" s="386"/>
      <c r="U9" s="386"/>
      <c r="V9" s="386"/>
      <c r="W9" s="386"/>
      <c r="X9" s="386"/>
      <c r="Y9" s="386"/>
      <c r="Z9" s="369"/>
      <c r="AA9" s="369"/>
      <c r="AB9" s="369"/>
      <c r="AC9" s="369"/>
      <c r="AD9" s="369"/>
      <c r="AE9" s="369"/>
      <c r="AF9" s="599"/>
      <c r="AG9" s="599"/>
      <c r="AH9" s="599"/>
      <c r="AI9" s="599"/>
      <c r="AJ9" s="599"/>
      <c r="AK9" s="599"/>
      <c r="AL9" s="387"/>
      <c r="AM9" s="387"/>
      <c r="AN9" s="387"/>
      <c r="AO9" s="387"/>
      <c r="AP9" s="387"/>
      <c r="AQ9" s="387"/>
    </row>
    <row r="10" spans="1:57" ht="9" customHeight="1">
      <c r="A10" s="174"/>
      <c r="B10" s="174"/>
      <c r="C10" s="174"/>
      <c r="D10" s="174"/>
      <c r="E10" s="174"/>
      <c r="F10" s="174"/>
      <c r="G10" s="174"/>
      <c r="H10" s="174"/>
      <c r="I10" s="174"/>
      <c r="J10" s="174"/>
      <c r="K10" s="174"/>
      <c r="L10" s="174"/>
      <c r="M10" s="174"/>
      <c r="N10" s="174"/>
      <c r="O10" s="174"/>
      <c r="P10" s="174"/>
      <c r="Q10" s="174"/>
      <c r="R10" s="174"/>
      <c r="S10" s="174"/>
      <c r="T10" s="386" t="s">
        <v>269</v>
      </c>
      <c r="U10" s="386"/>
      <c r="V10" s="386"/>
      <c r="W10" s="386"/>
      <c r="X10" s="386"/>
      <c r="Y10" s="386"/>
      <c r="Z10" s="369" t="s">
        <v>939</v>
      </c>
      <c r="AA10" s="369"/>
      <c r="AB10" s="369"/>
      <c r="AC10" s="369"/>
      <c r="AD10" s="369"/>
      <c r="AE10" s="369"/>
      <c r="AF10" s="599" t="s">
        <v>948</v>
      </c>
      <c r="AG10" s="599"/>
      <c r="AH10" s="599"/>
      <c r="AI10" s="599"/>
      <c r="AJ10" s="599"/>
      <c r="AK10" s="599"/>
      <c r="AL10" s="387" t="s">
        <v>949</v>
      </c>
      <c r="AM10" s="387"/>
      <c r="AN10" s="387"/>
      <c r="AO10" s="387"/>
      <c r="AP10" s="387"/>
      <c r="AQ10" s="387"/>
      <c r="AR10" s="386" t="s">
        <v>950</v>
      </c>
      <c r="AS10" s="386"/>
      <c r="AT10" s="386"/>
      <c r="AU10" s="386"/>
      <c r="AV10" s="386"/>
      <c r="AW10" s="386"/>
      <c r="AX10" s="369" t="s">
        <v>939</v>
      </c>
      <c r="AY10" s="369"/>
      <c r="AZ10" s="369"/>
      <c r="BA10" s="369"/>
      <c r="BB10" s="369"/>
      <c r="BC10" s="369"/>
    </row>
    <row r="11" spans="1:57" ht="9" customHeight="1">
      <c r="A11" s="174"/>
      <c r="B11" s="174"/>
      <c r="C11" s="174"/>
      <c r="D11" s="174"/>
      <c r="E11" s="174"/>
      <c r="F11" s="174"/>
      <c r="G11" s="174"/>
      <c r="H11" s="174"/>
      <c r="I11" s="174"/>
      <c r="J11" s="174"/>
      <c r="K11" s="637" t="s">
        <v>951</v>
      </c>
      <c r="L11" s="637"/>
      <c r="M11" s="637"/>
      <c r="N11" s="639" t="s">
        <v>1217</v>
      </c>
      <c r="O11" s="639"/>
      <c r="P11" s="639"/>
      <c r="Q11" s="639"/>
      <c r="R11" s="639"/>
      <c r="S11" s="631"/>
      <c r="T11" s="386"/>
      <c r="U11" s="386"/>
      <c r="V11" s="386"/>
      <c r="W11" s="386"/>
      <c r="X11" s="386"/>
      <c r="Y11" s="386"/>
      <c r="Z11" s="369"/>
      <c r="AA11" s="369"/>
      <c r="AB11" s="369"/>
      <c r="AC11" s="369"/>
      <c r="AD11" s="369"/>
      <c r="AE11" s="369"/>
      <c r="AF11" s="599"/>
      <c r="AG11" s="599"/>
      <c r="AH11" s="599"/>
      <c r="AI11" s="599"/>
      <c r="AJ11" s="599"/>
      <c r="AK11" s="599"/>
      <c r="AL11" s="387"/>
      <c r="AM11" s="387"/>
      <c r="AN11" s="387"/>
      <c r="AO11" s="387"/>
      <c r="AP11" s="387"/>
      <c r="AQ11" s="387"/>
      <c r="AR11" s="386"/>
      <c r="AS11" s="386"/>
      <c r="AT11" s="386"/>
      <c r="AU11" s="386"/>
      <c r="AV11" s="386"/>
      <c r="AW11" s="386"/>
      <c r="AX11" s="369"/>
      <c r="AY11" s="369"/>
      <c r="AZ11" s="369"/>
      <c r="BA11" s="369"/>
      <c r="BB11" s="369"/>
      <c r="BC11" s="369"/>
    </row>
    <row r="12" spans="1:57" ht="9" customHeight="1">
      <c r="A12" s="631" t="s">
        <v>952</v>
      </c>
      <c r="B12" s="631"/>
      <c r="C12" s="631"/>
      <c r="D12" s="631"/>
      <c r="E12" s="631"/>
      <c r="F12" s="631"/>
      <c r="G12" s="631"/>
      <c r="H12" s="174"/>
      <c r="I12" s="174"/>
      <c r="J12" s="174"/>
      <c r="K12" s="637"/>
      <c r="L12" s="637"/>
      <c r="M12" s="637"/>
      <c r="N12" s="639"/>
      <c r="O12" s="639"/>
      <c r="P12" s="639"/>
      <c r="Q12" s="639"/>
      <c r="R12" s="639"/>
      <c r="S12" s="631"/>
      <c r="T12" s="386" t="s">
        <v>953</v>
      </c>
      <c r="U12" s="386"/>
      <c r="V12" s="386"/>
      <c r="W12" s="386"/>
      <c r="X12" s="386"/>
      <c r="Y12" s="386"/>
      <c r="Z12" s="369" t="s">
        <v>949</v>
      </c>
      <c r="AA12" s="369"/>
      <c r="AB12" s="369"/>
      <c r="AC12" s="369"/>
      <c r="AD12" s="369"/>
      <c r="AE12" s="369"/>
      <c r="AF12" s="599" t="s">
        <v>954</v>
      </c>
      <c r="AG12" s="599"/>
      <c r="AH12" s="599"/>
      <c r="AI12" s="599"/>
      <c r="AJ12" s="599"/>
      <c r="AK12" s="599"/>
      <c r="AL12" s="387" t="s">
        <v>955</v>
      </c>
      <c r="AM12" s="387"/>
      <c r="AN12" s="387"/>
      <c r="AO12" s="387"/>
      <c r="AP12" s="387"/>
      <c r="AQ12" s="387"/>
      <c r="AR12" s="386" t="s">
        <v>956</v>
      </c>
      <c r="AS12" s="386"/>
      <c r="AT12" s="386"/>
      <c r="AU12" s="386"/>
      <c r="AV12" s="386"/>
      <c r="AW12" s="386"/>
      <c r="AX12" s="369" t="s">
        <v>934</v>
      </c>
      <c r="AY12" s="369"/>
      <c r="AZ12" s="369"/>
      <c r="BA12" s="369"/>
      <c r="BB12" s="369"/>
      <c r="BC12" s="369"/>
    </row>
    <row r="13" spans="1:57" ht="9" customHeight="1">
      <c r="A13" s="643"/>
      <c r="B13" s="643"/>
      <c r="C13" s="643"/>
      <c r="D13" s="643"/>
      <c r="E13" s="643"/>
      <c r="F13" s="643"/>
      <c r="G13" s="643"/>
      <c r="H13" s="642"/>
      <c r="I13" s="642"/>
      <c r="J13" s="174"/>
      <c r="K13" s="174"/>
      <c r="L13" s="174"/>
      <c r="M13" s="174"/>
      <c r="N13" s="174"/>
      <c r="O13" s="174"/>
      <c r="P13" s="174"/>
      <c r="Q13" s="174"/>
      <c r="R13" s="174"/>
      <c r="S13" s="174"/>
      <c r="T13" s="386"/>
      <c r="U13" s="386"/>
      <c r="V13" s="386"/>
      <c r="W13" s="386"/>
      <c r="X13" s="386"/>
      <c r="Y13" s="386"/>
      <c r="Z13" s="369"/>
      <c r="AA13" s="369"/>
      <c r="AB13" s="369"/>
      <c r="AC13" s="369"/>
      <c r="AD13" s="369"/>
      <c r="AE13" s="369"/>
      <c r="AF13" s="599"/>
      <c r="AG13" s="599"/>
      <c r="AH13" s="599"/>
      <c r="AI13" s="599"/>
      <c r="AJ13" s="599"/>
      <c r="AK13" s="599"/>
      <c r="AL13" s="387"/>
      <c r="AM13" s="387"/>
      <c r="AN13" s="387"/>
      <c r="AO13" s="387"/>
      <c r="AP13" s="387"/>
      <c r="AQ13" s="387"/>
      <c r="AR13" s="386"/>
      <c r="AS13" s="386"/>
      <c r="AT13" s="386"/>
      <c r="AU13" s="386"/>
      <c r="AV13" s="386"/>
      <c r="AW13" s="386"/>
      <c r="AX13" s="369"/>
      <c r="AY13" s="369"/>
      <c r="AZ13" s="369"/>
      <c r="BA13" s="369"/>
      <c r="BB13" s="369"/>
      <c r="BC13" s="369"/>
    </row>
    <row r="14" spans="1:57" ht="9" customHeight="1">
      <c r="A14" s="174"/>
      <c r="B14" s="174"/>
      <c r="C14" s="174"/>
      <c r="D14" s="174"/>
      <c r="E14" s="174"/>
      <c r="F14" s="174"/>
      <c r="G14" s="174"/>
      <c r="H14" s="642"/>
      <c r="I14" s="642"/>
      <c r="J14" s="174"/>
      <c r="K14" s="174"/>
      <c r="L14" s="174"/>
      <c r="M14" s="174"/>
      <c r="N14" s="174"/>
      <c r="O14" s="174"/>
      <c r="P14" s="174"/>
      <c r="Q14" s="174"/>
      <c r="R14" s="174"/>
      <c r="S14" s="174"/>
      <c r="T14" s="386" t="s">
        <v>957</v>
      </c>
      <c r="U14" s="386"/>
      <c r="V14" s="386"/>
      <c r="W14" s="386"/>
      <c r="X14" s="386"/>
      <c r="Y14" s="386"/>
      <c r="Z14" s="369" t="s">
        <v>947</v>
      </c>
      <c r="AA14" s="369"/>
      <c r="AB14" s="369"/>
      <c r="AC14" s="369"/>
      <c r="AD14" s="369"/>
      <c r="AE14" s="369"/>
      <c r="AF14" s="599" t="s">
        <v>958</v>
      </c>
      <c r="AG14" s="599"/>
      <c r="AH14" s="599"/>
      <c r="AI14" s="599"/>
      <c r="AJ14" s="599"/>
      <c r="AK14" s="599"/>
      <c r="AL14" s="387" t="s">
        <v>959</v>
      </c>
      <c r="AM14" s="387"/>
      <c r="AN14" s="387"/>
      <c r="AO14" s="387"/>
      <c r="AP14" s="387"/>
      <c r="AQ14" s="387"/>
    </row>
    <row r="15" spans="1:57" ht="9" customHeight="1">
      <c r="A15" s="637"/>
      <c r="B15" s="637"/>
      <c r="C15" s="637"/>
      <c r="D15" s="637"/>
      <c r="E15" s="637"/>
      <c r="F15" s="637"/>
      <c r="G15" s="637"/>
      <c r="H15" s="174"/>
      <c r="I15" s="174"/>
      <c r="J15" s="631" t="s">
        <v>960</v>
      </c>
      <c r="K15" s="631"/>
      <c r="L15" s="631"/>
      <c r="M15" s="631"/>
      <c r="N15" s="631"/>
      <c r="O15" s="631"/>
      <c r="P15" s="631"/>
      <c r="Q15" s="631"/>
      <c r="R15" s="631"/>
      <c r="S15" s="174"/>
      <c r="T15" s="386"/>
      <c r="U15" s="386"/>
      <c r="V15" s="386"/>
      <c r="W15" s="386"/>
      <c r="X15" s="386"/>
      <c r="Y15" s="386"/>
      <c r="Z15" s="369"/>
      <c r="AA15" s="369"/>
      <c r="AB15" s="369"/>
      <c r="AC15" s="369"/>
      <c r="AD15" s="369"/>
      <c r="AE15" s="369"/>
      <c r="AF15" s="599"/>
      <c r="AG15" s="599"/>
      <c r="AH15" s="599"/>
      <c r="AI15" s="599"/>
      <c r="AJ15" s="599"/>
      <c r="AK15" s="599"/>
      <c r="AL15" s="387"/>
      <c r="AM15" s="387"/>
      <c r="AN15" s="387"/>
      <c r="AO15" s="387"/>
      <c r="AP15" s="387"/>
      <c r="AQ15" s="387"/>
    </row>
    <row r="16" spans="1:57" ht="9" customHeight="1">
      <c r="A16" s="638"/>
      <c r="B16" s="638"/>
      <c r="C16" s="638"/>
      <c r="D16" s="638"/>
      <c r="E16" s="638"/>
      <c r="F16" s="638"/>
      <c r="G16" s="638"/>
      <c r="H16" s="174"/>
      <c r="I16" s="174"/>
      <c r="J16" s="631"/>
      <c r="K16" s="631"/>
      <c r="L16" s="631"/>
      <c r="M16" s="631"/>
      <c r="N16" s="631"/>
      <c r="O16" s="631"/>
      <c r="P16" s="631"/>
      <c r="Q16" s="631"/>
      <c r="R16" s="631"/>
      <c r="S16" s="174"/>
      <c r="T16" s="386" t="s">
        <v>961</v>
      </c>
      <c r="U16" s="386"/>
      <c r="V16" s="386"/>
      <c r="W16" s="386"/>
      <c r="X16" s="386"/>
      <c r="Y16" s="386"/>
      <c r="Z16" s="369" t="s">
        <v>962</v>
      </c>
      <c r="AA16" s="369"/>
      <c r="AB16" s="369"/>
      <c r="AC16" s="369"/>
      <c r="AD16" s="369"/>
      <c r="AE16" s="369"/>
      <c r="AF16" s="599" t="s">
        <v>963</v>
      </c>
      <c r="AG16" s="599"/>
      <c r="AH16" s="599"/>
      <c r="AI16" s="599"/>
      <c r="AJ16" s="599"/>
      <c r="AK16" s="599"/>
      <c r="AL16" s="387" t="s">
        <v>964</v>
      </c>
      <c r="AM16" s="387"/>
      <c r="AN16" s="387"/>
      <c r="AO16" s="387"/>
      <c r="AP16" s="387"/>
      <c r="AQ16" s="387"/>
    </row>
    <row r="17" spans="1:57" ht="9" customHeight="1">
      <c r="A17" s="174"/>
      <c r="B17" s="174"/>
      <c r="C17" s="174"/>
      <c r="D17" s="174"/>
      <c r="E17" s="174"/>
      <c r="F17" s="174"/>
      <c r="G17" s="174"/>
      <c r="H17" s="174"/>
      <c r="I17" s="174"/>
      <c r="J17" s="639" t="s">
        <v>965</v>
      </c>
      <c r="K17" s="639"/>
      <c r="L17" s="639"/>
      <c r="M17" s="639"/>
      <c r="N17" s="639"/>
      <c r="O17" s="639"/>
      <c r="P17" s="639"/>
      <c r="Q17" s="639"/>
      <c r="R17" s="639"/>
      <c r="S17" s="174"/>
      <c r="T17" s="386"/>
      <c r="U17" s="386"/>
      <c r="V17" s="386"/>
      <c r="W17" s="386"/>
      <c r="X17" s="386"/>
      <c r="Y17" s="386"/>
      <c r="Z17" s="369"/>
      <c r="AA17" s="369"/>
      <c r="AB17" s="369"/>
      <c r="AC17" s="369"/>
      <c r="AD17" s="369"/>
      <c r="AE17" s="369"/>
      <c r="AF17" s="599"/>
      <c r="AG17" s="599"/>
      <c r="AH17" s="599"/>
      <c r="AI17" s="599"/>
      <c r="AJ17" s="599"/>
      <c r="AK17" s="599"/>
      <c r="AL17" s="387"/>
      <c r="AM17" s="387"/>
      <c r="AN17" s="387"/>
      <c r="AO17" s="387"/>
      <c r="AP17" s="387"/>
      <c r="AQ17" s="387"/>
    </row>
    <row r="18" spans="1:57" ht="9" customHeight="1">
      <c r="A18" s="174"/>
      <c r="B18" s="174"/>
      <c r="C18" s="174"/>
      <c r="D18" s="174"/>
      <c r="E18" s="174"/>
      <c r="F18" s="174"/>
      <c r="G18" s="174"/>
      <c r="H18" s="174"/>
      <c r="I18" s="174"/>
      <c r="J18" s="639"/>
      <c r="K18" s="639"/>
      <c r="L18" s="639"/>
      <c r="M18" s="639"/>
      <c r="N18" s="639"/>
      <c r="O18" s="639"/>
      <c r="P18" s="639"/>
      <c r="Q18" s="639"/>
      <c r="R18" s="639"/>
      <c r="S18" s="174"/>
      <c r="T18" s="386" t="s">
        <v>798</v>
      </c>
      <c r="U18" s="386"/>
      <c r="V18" s="386"/>
      <c r="W18" s="386"/>
      <c r="X18" s="386"/>
      <c r="Y18" s="386"/>
      <c r="Z18" s="369" t="s">
        <v>966</v>
      </c>
      <c r="AA18" s="369"/>
      <c r="AB18" s="369"/>
      <c r="AC18" s="369"/>
      <c r="AD18" s="369"/>
      <c r="AE18" s="369"/>
      <c r="AF18" s="599" t="s">
        <v>967</v>
      </c>
      <c r="AG18" s="599"/>
      <c r="AH18" s="599"/>
      <c r="AI18" s="599"/>
      <c r="AJ18" s="599"/>
      <c r="AK18" s="599"/>
      <c r="AL18" s="387" t="s">
        <v>968</v>
      </c>
      <c r="AM18" s="387"/>
      <c r="AN18" s="387"/>
      <c r="AO18" s="387"/>
      <c r="AP18" s="387"/>
      <c r="AQ18" s="387"/>
    </row>
    <row r="19" spans="1:57" ht="9" customHeight="1">
      <c r="A19" s="630" t="s">
        <v>969</v>
      </c>
      <c r="B19" s="630"/>
      <c r="C19" s="630"/>
      <c r="D19" s="630"/>
      <c r="E19" s="630" t="s">
        <v>970</v>
      </c>
      <c r="F19" s="630"/>
      <c r="G19" s="630"/>
      <c r="H19" s="630"/>
      <c r="I19" s="174"/>
      <c r="J19" s="631" t="s">
        <v>971</v>
      </c>
      <c r="K19" s="631"/>
      <c r="L19" s="631"/>
      <c r="M19" s="631"/>
      <c r="N19" s="631"/>
      <c r="O19" s="631"/>
      <c r="P19" s="631"/>
      <c r="Q19" s="631"/>
      <c r="R19" s="631"/>
      <c r="S19" s="631"/>
      <c r="T19" s="386"/>
      <c r="U19" s="386"/>
      <c r="V19" s="386"/>
      <c r="W19" s="386"/>
      <c r="X19" s="386"/>
      <c r="Y19" s="386"/>
      <c r="Z19" s="369"/>
      <c r="AA19" s="369"/>
      <c r="AB19" s="369"/>
      <c r="AC19" s="369"/>
      <c r="AD19" s="369"/>
      <c r="AE19" s="369"/>
      <c r="AF19" s="599"/>
      <c r="AG19" s="599"/>
      <c r="AH19" s="599"/>
      <c r="AI19" s="599"/>
      <c r="AJ19" s="599"/>
      <c r="AK19" s="599"/>
      <c r="AL19" s="387"/>
      <c r="AM19" s="387"/>
      <c r="AN19" s="387"/>
      <c r="AO19" s="387"/>
      <c r="AP19" s="387"/>
      <c r="AQ19" s="387"/>
    </row>
    <row r="20" spans="1:57" ht="9" customHeight="1">
      <c r="A20" s="630"/>
      <c r="B20" s="630"/>
      <c r="C20" s="630"/>
      <c r="D20" s="630"/>
      <c r="E20" s="630"/>
      <c r="F20" s="630"/>
      <c r="G20" s="630"/>
      <c r="H20" s="630"/>
      <c r="I20" s="174"/>
      <c r="J20" s="631"/>
      <c r="K20" s="631"/>
      <c r="L20" s="631"/>
      <c r="M20" s="631"/>
      <c r="N20" s="631"/>
      <c r="O20" s="631"/>
      <c r="P20" s="631"/>
      <c r="Q20" s="631"/>
      <c r="R20" s="631"/>
      <c r="S20" s="631"/>
      <c r="T20" s="386" t="s">
        <v>972</v>
      </c>
      <c r="U20" s="386"/>
      <c r="V20" s="386"/>
      <c r="W20" s="386"/>
      <c r="X20" s="386"/>
      <c r="Y20" s="386"/>
      <c r="Z20" s="369" t="s">
        <v>959</v>
      </c>
      <c r="AA20" s="369"/>
      <c r="AB20" s="369"/>
      <c r="AC20" s="369"/>
      <c r="AD20" s="369"/>
      <c r="AE20" s="369"/>
      <c r="AF20" s="599" t="s">
        <v>973</v>
      </c>
      <c r="AG20" s="599"/>
      <c r="AH20" s="599"/>
      <c r="AI20" s="599"/>
      <c r="AJ20" s="599"/>
      <c r="AK20" s="599"/>
      <c r="AL20" s="387" t="s">
        <v>959</v>
      </c>
      <c r="AM20" s="387"/>
      <c r="AN20" s="387"/>
      <c r="AO20" s="387"/>
      <c r="AP20" s="387"/>
      <c r="AQ20" s="387"/>
    </row>
    <row r="21" spans="1:57" ht="9" customHeight="1">
      <c r="A21" s="618"/>
      <c r="B21" s="618"/>
      <c r="C21" s="618"/>
      <c r="D21" s="618"/>
      <c r="E21" s="640"/>
      <c r="F21" s="625" t="s">
        <v>974</v>
      </c>
      <c r="G21" s="632"/>
      <c r="H21" s="634" t="s">
        <v>975</v>
      </c>
      <c r="I21" s="174"/>
      <c r="J21" s="631" t="s">
        <v>976</v>
      </c>
      <c r="K21" s="631"/>
      <c r="L21" s="631"/>
      <c r="M21" s="631"/>
      <c r="N21" s="631"/>
      <c r="O21" s="631"/>
      <c r="P21" s="631"/>
      <c r="Q21" s="631"/>
      <c r="R21" s="631"/>
      <c r="S21" s="174"/>
      <c r="T21" s="386"/>
      <c r="U21" s="386"/>
      <c r="V21" s="386"/>
      <c r="W21" s="386"/>
      <c r="X21" s="386"/>
      <c r="Y21" s="386"/>
      <c r="Z21" s="369"/>
      <c r="AA21" s="369"/>
      <c r="AB21" s="369"/>
      <c r="AC21" s="369"/>
      <c r="AD21" s="369"/>
      <c r="AE21" s="369"/>
      <c r="AF21" s="599"/>
      <c r="AG21" s="599"/>
      <c r="AH21" s="599"/>
      <c r="AI21" s="599"/>
      <c r="AJ21" s="599"/>
      <c r="AK21" s="599"/>
      <c r="AL21" s="387"/>
      <c r="AM21" s="387"/>
      <c r="AN21" s="387"/>
      <c r="AO21" s="387"/>
      <c r="AP21" s="387"/>
      <c r="AQ21" s="387"/>
    </row>
    <row r="22" spans="1:57" ht="9" customHeight="1">
      <c r="A22" s="618"/>
      <c r="B22" s="618"/>
      <c r="C22" s="618"/>
      <c r="D22" s="618"/>
      <c r="E22" s="641"/>
      <c r="F22" s="628"/>
      <c r="G22" s="633"/>
      <c r="H22" s="635"/>
      <c r="I22" s="174"/>
      <c r="J22" s="631"/>
      <c r="K22" s="631"/>
      <c r="L22" s="631"/>
      <c r="M22" s="631"/>
      <c r="N22" s="631"/>
      <c r="O22" s="631"/>
      <c r="P22" s="631"/>
      <c r="Q22" s="631"/>
      <c r="R22" s="631"/>
      <c r="S22" s="174"/>
      <c r="T22" s="386" t="s">
        <v>977</v>
      </c>
      <c r="U22" s="386"/>
      <c r="V22" s="386"/>
      <c r="W22" s="386"/>
      <c r="X22" s="386"/>
      <c r="Y22" s="386"/>
      <c r="Z22" s="369" t="s">
        <v>936</v>
      </c>
      <c r="AA22" s="369"/>
      <c r="AB22" s="369"/>
      <c r="AC22" s="369"/>
      <c r="AD22" s="369"/>
      <c r="AE22" s="369"/>
      <c r="AF22" s="599" t="s">
        <v>978</v>
      </c>
      <c r="AG22" s="599"/>
      <c r="AH22" s="599"/>
      <c r="AI22" s="599"/>
      <c r="AJ22" s="599"/>
      <c r="AK22" s="599"/>
      <c r="AL22" s="387" t="s">
        <v>979</v>
      </c>
      <c r="AM22" s="387"/>
      <c r="AN22" s="387"/>
      <c r="AO22" s="387"/>
      <c r="AP22" s="387"/>
      <c r="AQ22" s="387"/>
      <c r="AR22" s="386" t="s">
        <v>980</v>
      </c>
      <c r="AS22" s="386"/>
      <c r="AT22" s="386"/>
      <c r="AU22" s="386"/>
      <c r="AV22" s="386"/>
      <c r="AW22" s="386"/>
      <c r="AX22" s="369" t="s">
        <v>936</v>
      </c>
      <c r="AY22" s="369"/>
      <c r="AZ22" s="369"/>
      <c r="BA22" s="369"/>
      <c r="BB22" s="369"/>
      <c r="BC22" s="369"/>
      <c r="BD22" s="611" t="s">
        <v>981</v>
      </c>
      <c r="BE22" s="448"/>
    </row>
    <row r="23" spans="1:57" ht="9" customHeight="1">
      <c r="A23" s="630" t="s">
        <v>499</v>
      </c>
      <c r="B23" s="630"/>
      <c r="C23" s="630"/>
      <c r="D23" s="630"/>
      <c r="E23" s="630"/>
      <c r="F23" s="630"/>
      <c r="G23" s="630"/>
      <c r="H23" s="630"/>
      <c r="I23" s="174"/>
      <c r="J23" s="631" t="s">
        <v>982</v>
      </c>
      <c r="K23" s="631"/>
      <c r="L23" s="631"/>
      <c r="M23" s="631"/>
      <c r="N23" s="631"/>
      <c r="O23" s="631"/>
      <c r="P23" s="631"/>
      <c r="Q23" s="631"/>
      <c r="R23" s="631"/>
      <c r="S23" s="174"/>
      <c r="T23" s="386"/>
      <c r="U23" s="386"/>
      <c r="V23" s="386"/>
      <c r="W23" s="386"/>
      <c r="X23" s="386"/>
      <c r="Y23" s="386"/>
      <c r="Z23" s="369"/>
      <c r="AA23" s="369"/>
      <c r="AB23" s="369"/>
      <c r="AC23" s="369"/>
      <c r="AD23" s="369"/>
      <c r="AE23" s="369"/>
      <c r="AF23" s="599"/>
      <c r="AG23" s="599"/>
      <c r="AH23" s="599"/>
      <c r="AI23" s="599"/>
      <c r="AJ23" s="599"/>
      <c r="AK23" s="599"/>
      <c r="AL23" s="387"/>
      <c r="AM23" s="387"/>
      <c r="AN23" s="387"/>
      <c r="AO23" s="387"/>
      <c r="AP23" s="387"/>
      <c r="AQ23" s="387"/>
      <c r="AR23" s="386"/>
      <c r="AS23" s="386"/>
      <c r="AT23" s="386"/>
      <c r="AU23" s="386"/>
      <c r="AV23" s="386"/>
      <c r="AW23" s="386"/>
      <c r="AX23" s="369"/>
      <c r="AY23" s="369"/>
      <c r="AZ23" s="369"/>
      <c r="BA23" s="369"/>
      <c r="BB23" s="369"/>
      <c r="BC23" s="369"/>
      <c r="BD23" s="611"/>
      <c r="BE23" s="448"/>
    </row>
    <row r="24" spans="1:57" ht="9" customHeight="1">
      <c r="A24" s="630"/>
      <c r="B24" s="630"/>
      <c r="C24" s="630"/>
      <c r="D24" s="630"/>
      <c r="E24" s="630"/>
      <c r="F24" s="630"/>
      <c r="G24" s="630"/>
      <c r="H24" s="630"/>
      <c r="I24" s="174"/>
      <c r="J24" s="631"/>
      <c r="K24" s="631"/>
      <c r="L24" s="631"/>
      <c r="M24" s="631"/>
      <c r="N24" s="631"/>
      <c r="O24" s="631"/>
      <c r="P24" s="631"/>
      <c r="Q24" s="631"/>
      <c r="R24" s="631"/>
      <c r="S24" s="174"/>
      <c r="T24" s="386" t="s">
        <v>983</v>
      </c>
      <c r="U24" s="386"/>
      <c r="V24" s="386"/>
      <c r="W24" s="386"/>
      <c r="X24" s="386"/>
      <c r="Y24" s="386"/>
      <c r="Z24" s="369" t="s">
        <v>984</v>
      </c>
      <c r="AA24" s="369"/>
      <c r="AB24" s="369"/>
      <c r="AC24" s="369"/>
      <c r="AD24" s="369"/>
      <c r="AE24" s="369"/>
      <c r="AF24" s="599" t="s">
        <v>204</v>
      </c>
      <c r="AG24" s="599"/>
      <c r="AH24" s="599"/>
      <c r="AI24" s="599"/>
      <c r="AJ24" s="599"/>
      <c r="AK24" s="599"/>
      <c r="AL24" s="387" t="s">
        <v>985</v>
      </c>
      <c r="AM24" s="387"/>
      <c r="AN24" s="387"/>
      <c r="AO24" s="387"/>
      <c r="AP24" s="387"/>
      <c r="AQ24" s="387"/>
    </row>
    <row r="25" spans="1:57" ht="9" customHeight="1">
      <c r="A25" s="624"/>
      <c r="B25" s="625"/>
      <c r="C25" s="625"/>
      <c r="D25" s="625"/>
      <c r="E25" s="625"/>
      <c r="F25" s="625"/>
      <c r="G25" s="625"/>
      <c r="H25" s="626"/>
      <c r="I25" s="174"/>
      <c r="J25" s="631" t="s">
        <v>986</v>
      </c>
      <c r="K25" s="631"/>
      <c r="L25" s="631"/>
      <c r="M25" s="631"/>
      <c r="N25" s="631"/>
      <c r="O25" s="631"/>
      <c r="P25" s="631"/>
      <c r="Q25" s="631"/>
      <c r="R25" s="631"/>
      <c r="S25" s="174"/>
      <c r="T25" s="386"/>
      <c r="U25" s="386"/>
      <c r="V25" s="386"/>
      <c r="W25" s="386"/>
      <c r="X25" s="386"/>
      <c r="Y25" s="386"/>
      <c r="Z25" s="369"/>
      <c r="AA25" s="369"/>
      <c r="AB25" s="369"/>
      <c r="AC25" s="369"/>
      <c r="AD25" s="369"/>
      <c r="AE25" s="369"/>
      <c r="AF25" s="599"/>
      <c r="AG25" s="599"/>
      <c r="AH25" s="599"/>
      <c r="AI25" s="599"/>
      <c r="AJ25" s="599"/>
      <c r="AK25" s="599"/>
      <c r="AL25" s="387"/>
      <c r="AM25" s="387"/>
      <c r="AN25" s="387"/>
      <c r="AO25" s="387"/>
      <c r="AP25" s="387"/>
      <c r="AQ25" s="387"/>
    </row>
    <row r="26" spans="1:57" ht="9" customHeight="1">
      <c r="A26" s="627"/>
      <c r="B26" s="628"/>
      <c r="C26" s="628"/>
      <c r="D26" s="628"/>
      <c r="E26" s="628"/>
      <c r="F26" s="628"/>
      <c r="G26" s="628"/>
      <c r="H26" s="629"/>
      <c r="I26" s="174"/>
      <c r="J26" s="631"/>
      <c r="K26" s="631"/>
      <c r="L26" s="631"/>
      <c r="M26" s="631"/>
      <c r="N26" s="631"/>
      <c r="O26" s="631"/>
      <c r="P26" s="631"/>
      <c r="Q26" s="631"/>
      <c r="R26" s="631"/>
      <c r="S26" s="174"/>
      <c r="T26" s="386" t="s">
        <v>987</v>
      </c>
      <c r="U26" s="386"/>
      <c r="V26" s="386"/>
      <c r="W26" s="386"/>
      <c r="X26" s="386"/>
      <c r="Y26" s="386"/>
      <c r="Z26" s="369" t="s">
        <v>988</v>
      </c>
      <c r="AA26" s="369"/>
      <c r="AB26" s="369"/>
      <c r="AC26" s="369"/>
      <c r="AD26" s="369"/>
      <c r="AE26" s="369"/>
      <c r="AF26" s="599" t="s">
        <v>989</v>
      </c>
      <c r="AG26" s="599"/>
      <c r="AH26" s="599"/>
      <c r="AI26" s="599"/>
      <c r="AJ26" s="599"/>
      <c r="AK26" s="599"/>
      <c r="AL26" s="387" t="s">
        <v>990</v>
      </c>
      <c r="AM26" s="387"/>
      <c r="AN26" s="387"/>
      <c r="AO26" s="387"/>
      <c r="AP26" s="387"/>
      <c r="AQ26" s="387"/>
    </row>
    <row r="27" spans="1:57" ht="9" customHeight="1">
      <c r="A27" s="630" t="s">
        <v>991</v>
      </c>
      <c r="B27" s="630"/>
      <c r="C27" s="630"/>
      <c r="D27" s="630"/>
      <c r="E27" s="630"/>
      <c r="F27" s="630"/>
      <c r="G27" s="630"/>
      <c r="H27" s="630"/>
      <c r="I27" s="174"/>
      <c r="J27" s="636" t="s">
        <v>992</v>
      </c>
      <c r="K27" s="636"/>
      <c r="L27" s="636"/>
      <c r="M27" s="636"/>
      <c r="N27" s="636"/>
      <c r="O27" s="636"/>
      <c r="P27" s="636"/>
      <c r="Q27" s="636"/>
      <c r="R27" s="636"/>
      <c r="S27" s="631"/>
      <c r="T27" s="386"/>
      <c r="U27" s="386"/>
      <c r="V27" s="386"/>
      <c r="W27" s="386"/>
      <c r="X27" s="386"/>
      <c r="Y27" s="386"/>
      <c r="Z27" s="369"/>
      <c r="AA27" s="369"/>
      <c r="AB27" s="369"/>
      <c r="AC27" s="369"/>
      <c r="AD27" s="369"/>
      <c r="AE27" s="369"/>
      <c r="AF27" s="599"/>
      <c r="AG27" s="599"/>
      <c r="AH27" s="599"/>
      <c r="AI27" s="599"/>
      <c r="AJ27" s="599"/>
      <c r="AK27" s="599"/>
      <c r="AL27" s="387"/>
      <c r="AM27" s="387"/>
      <c r="AN27" s="387"/>
      <c r="AO27" s="387"/>
      <c r="AP27" s="387"/>
      <c r="AQ27" s="387"/>
    </row>
    <row r="28" spans="1:57" ht="9" customHeight="1">
      <c r="A28" s="630"/>
      <c r="B28" s="630"/>
      <c r="C28" s="630"/>
      <c r="D28" s="630"/>
      <c r="E28" s="630"/>
      <c r="F28" s="630"/>
      <c r="G28" s="630"/>
      <c r="H28" s="630"/>
      <c r="I28" s="174"/>
      <c r="J28" s="636"/>
      <c r="K28" s="636"/>
      <c r="L28" s="636"/>
      <c r="M28" s="636"/>
      <c r="N28" s="636"/>
      <c r="O28" s="636"/>
      <c r="P28" s="636"/>
      <c r="Q28" s="636"/>
      <c r="R28" s="636"/>
      <c r="S28" s="631"/>
      <c r="T28" s="613" t="s">
        <v>654</v>
      </c>
      <c r="U28" s="613"/>
      <c r="V28" s="613"/>
      <c r="W28" s="613"/>
      <c r="X28" s="613"/>
      <c r="Y28" s="613"/>
      <c r="Z28" s="369"/>
      <c r="AA28" s="369"/>
      <c r="AB28" s="369"/>
      <c r="AC28" s="369"/>
      <c r="AD28" s="369"/>
      <c r="AE28" s="369"/>
      <c r="AF28" s="599" t="s">
        <v>993</v>
      </c>
      <c r="AG28" s="599"/>
      <c r="AH28" s="599"/>
      <c r="AI28" s="599"/>
      <c r="AJ28" s="599"/>
      <c r="AK28" s="599"/>
      <c r="AL28" s="387" t="s">
        <v>799</v>
      </c>
      <c r="AM28" s="387"/>
      <c r="AN28" s="387"/>
      <c r="AO28" s="387"/>
      <c r="AP28" s="387"/>
      <c r="AQ28" s="387"/>
      <c r="AR28" s="611" t="s">
        <v>994</v>
      </c>
      <c r="AS28" s="448"/>
      <c r="AT28" s="448"/>
    </row>
    <row r="29" spans="1:57" ht="9" customHeight="1">
      <c r="A29" s="618"/>
      <c r="B29" s="618"/>
      <c r="C29" s="618"/>
      <c r="D29" s="618"/>
      <c r="E29" s="618"/>
      <c r="F29" s="618"/>
      <c r="G29" s="618"/>
      <c r="H29" s="618"/>
      <c r="I29" s="174"/>
      <c r="J29" s="174"/>
      <c r="K29" s="174"/>
      <c r="L29" s="174"/>
      <c r="M29" s="174"/>
      <c r="N29" s="174"/>
      <c r="O29" s="174"/>
      <c r="P29" s="174"/>
      <c r="Q29" s="174"/>
      <c r="R29" s="174"/>
      <c r="S29" s="174"/>
      <c r="T29" s="613"/>
      <c r="U29" s="613"/>
      <c r="V29" s="613"/>
      <c r="W29" s="613"/>
      <c r="X29" s="613"/>
      <c r="Y29" s="613"/>
      <c r="Z29" s="369"/>
      <c r="AA29" s="369"/>
      <c r="AB29" s="369"/>
      <c r="AC29" s="369"/>
      <c r="AD29" s="369"/>
      <c r="AE29" s="369"/>
      <c r="AF29" s="599"/>
      <c r="AG29" s="599"/>
      <c r="AH29" s="599"/>
      <c r="AI29" s="599"/>
      <c r="AJ29" s="599"/>
      <c r="AK29" s="599"/>
      <c r="AL29" s="387"/>
      <c r="AM29" s="387"/>
      <c r="AN29" s="387"/>
      <c r="AO29" s="387"/>
      <c r="AP29" s="387"/>
      <c r="AQ29" s="387"/>
      <c r="AR29" s="611"/>
      <c r="AS29" s="448"/>
      <c r="AT29" s="448"/>
    </row>
    <row r="30" spans="1:57" ht="9" customHeight="1">
      <c r="A30" s="618"/>
      <c r="B30" s="618"/>
      <c r="C30" s="618"/>
      <c r="D30" s="618"/>
      <c r="E30" s="618"/>
      <c r="F30" s="618"/>
      <c r="G30" s="618"/>
      <c r="H30" s="618"/>
      <c r="I30" s="174"/>
      <c r="J30" s="174"/>
      <c r="K30" s="174"/>
      <c r="L30" s="174"/>
      <c r="M30" s="174"/>
      <c r="N30" s="174"/>
      <c r="O30" s="174"/>
      <c r="P30" s="174"/>
      <c r="Q30" s="174"/>
      <c r="R30" s="174"/>
      <c r="S30" s="174"/>
      <c r="T30" s="386" t="s">
        <v>995</v>
      </c>
      <c r="U30" s="386"/>
      <c r="V30" s="386"/>
      <c r="W30" s="386"/>
      <c r="X30" s="386"/>
      <c r="Y30" s="386"/>
      <c r="Z30" s="387" t="s">
        <v>945</v>
      </c>
      <c r="AA30" s="387"/>
      <c r="AB30" s="387"/>
      <c r="AC30" s="387"/>
      <c r="AD30" s="387"/>
      <c r="AE30" s="387"/>
      <c r="AF30" s="599" t="s">
        <v>996</v>
      </c>
      <c r="AG30" s="599"/>
      <c r="AH30" s="599"/>
      <c r="AI30" s="599"/>
      <c r="AJ30" s="599"/>
      <c r="AK30" s="599"/>
      <c r="AL30" s="387" t="s">
        <v>997</v>
      </c>
      <c r="AM30" s="387"/>
      <c r="AN30" s="387"/>
      <c r="AO30" s="387"/>
      <c r="AP30" s="387"/>
      <c r="AQ30" s="387"/>
      <c r="AR30" s="367" t="s">
        <v>631</v>
      </c>
      <c r="AS30" s="368"/>
      <c r="AT30" s="368"/>
    </row>
    <row r="31" spans="1:57" ht="9" customHeight="1">
      <c r="A31" s="174"/>
      <c r="B31" s="174"/>
      <c r="C31" s="174"/>
      <c r="D31" s="174"/>
      <c r="E31" s="174"/>
      <c r="F31" s="174"/>
      <c r="G31" s="174"/>
      <c r="H31" s="174"/>
      <c r="I31" s="174"/>
      <c r="J31" s="174"/>
      <c r="K31" s="174"/>
      <c r="L31" s="174"/>
      <c r="M31" s="174"/>
      <c r="N31" s="174"/>
      <c r="O31" s="174"/>
      <c r="P31" s="174"/>
      <c r="Q31" s="174"/>
      <c r="R31" s="174"/>
      <c r="S31" s="174"/>
      <c r="T31" s="386"/>
      <c r="U31" s="386"/>
      <c r="V31" s="386"/>
      <c r="W31" s="386"/>
      <c r="X31" s="386"/>
      <c r="Y31" s="386"/>
      <c r="Z31" s="387"/>
      <c r="AA31" s="387"/>
      <c r="AB31" s="387"/>
      <c r="AC31" s="387"/>
      <c r="AD31" s="387"/>
      <c r="AE31" s="387"/>
      <c r="AF31" s="599"/>
      <c r="AG31" s="599"/>
      <c r="AH31" s="599"/>
      <c r="AI31" s="599"/>
      <c r="AJ31" s="599"/>
      <c r="AK31" s="599"/>
      <c r="AL31" s="387"/>
      <c r="AM31" s="387"/>
      <c r="AN31" s="387"/>
      <c r="AO31" s="387"/>
      <c r="AP31" s="387"/>
      <c r="AQ31" s="387"/>
      <c r="AR31" s="367"/>
      <c r="AS31" s="368"/>
      <c r="AT31" s="368"/>
    </row>
    <row r="32" spans="1:57" ht="9" customHeight="1">
      <c r="A32" s="174"/>
      <c r="B32" s="174"/>
      <c r="C32" s="174"/>
      <c r="D32" s="174"/>
      <c r="E32" s="174"/>
      <c r="F32" s="174"/>
      <c r="G32" s="174"/>
      <c r="H32" s="174"/>
      <c r="I32" s="174"/>
      <c r="J32" s="174"/>
      <c r="K32" s="174"/>
      <c r="L32" s="174"/>
      <c r="M32" s="174"/>
      <c r="N32" s="174"/>
      <c r="O32" s="174"/>
      <c r="P32" s="174"/>
      <c r="Q32" s="174"/>
      <c r="R32" s="174"/>
      <c r="S32" s="174"/>
      <c r="T32" s="386" t="s">
        <v>276</v>
      </c>
      <c r="U32" s="386"/>
      <c r="V32" s="386"/>
      <c r="W32" s="386"/>
      <c r="X32" s="386"/>
      <c r="Y32" s="386"/>
      <c r="Z32" s="387" t="s">
        <v>937</v>
      </c>
      <c r="AA32" s="387"/>
      <c r="AB32" s="387"/>
      <c r="AC32" s="387"/>
      <c r="AD32" s="387"/>
      <c r="AE32" s="387"/>
      <c r="AF32" s="599" t="s">
        <v>998</v>
      </c>
      <c r="AG32" s="599"/>
      <c r="AH32" s="599"/>
      <c r="AI32" s="599"/>
      <c r="AJ32" s="599"/>
      <c r="AK32" s="599"/>
      <c r="AL32" s="387" t="s">
        <v>999</v>
      </c>
      <c r="AM32" s="387"/>
      <c r="AN32" s="387"/>
      <c r="AO32" s="387"/>
      <c r="AP32" s="387"/>
      <c r="AQ32" s="387"/>
    </row>
    <row r="33" spans="1:60" ht="9" customHeight="1">
      <c r="A33" s="630" t="s">
        <v>1000</v>
      </c>
      <c r="B33" s="630"/>
      <c r="C33" s="630"/>
      <c r="D33" s="630"/>
      <c r="E33" s="630"/>
      <c r="F33" s="630"/>
      <c r="G33" s="624" t="s">
        <v>1001</v>
      </c>
      <c r="H33" s="625"/>
      <c r="I33" s="625"/>
      <c r="J33" s="625"/>
      <c r="K33" s="625"/>
      <c r="L33" s="626"/>
      <c r="M33" s="630" t="s">
        <v>548</v>
      </c>
      <c r="N33" s="630"/>
      <c r="O33" s="630" t="s">
        <v>1002</v>
      </c>
      <c r="P33" s="630"/>
      <c r="Q33" s="624" t="s">
        <v>1003</v>
      </c>
      <c r="R33" s="625"/>
      <c r="S33" s="626"/>
      <c r="T33" s="386"/>
      <c r="U33" s="386"/>
      <c r="V33" s="386"/>
      <c r="W33" s="386"/>
      <c r="X33" s="386"/>
      <c r="Y33" s="386"/>
      <c r="Z33" s="387"/>
      <c r="AA33" s="387"/>
      <c r="AB33" s="387"/>
      <c r="AC33" s="387"/>
      <c r="AD33" s="387"/>
      <c r="AE33" s="387"/>
      <c r="AF33" s="599"/>
      <c r="AG33" s="599"/>
      <c r="AH33" s="599"/>
      <c r="AI33" s="599"/>
      <c r="AJ33" s="599"/>
      <c r="AK33" s="599"/>
      <c r="AL33" s="387"/>
      <c r="AM33" s="387"/>
      <c r="AN33" s="387"/>
      <c r="AO33" s="387"/>
      <c r="AP33" s="387"/>
      <c r="AQ33" s="387"/>
      <c r="AU33" s="386" t="s">
        <v>1004</v>
      </c>
      <c r="AV33" s="386"/>
      <c r="AW33" s="386"/>
      <c r="AX33" s="386"/>
      <c r="AY33" s="386"/>
      <c r="AZ33" s="386"/>
      <c r="BA33" s="387" t="s">
        <v>1005</v>
      </c>
      <c r="BB33" s="387"/>
      <c r="BC33" s="387"/>
      <c r="BD33" s="387"/>
      <c r="BE33" s="387"/>
      <c r="BF33" s="387"/>
      <c r="BG33" s="338" t="s">
        <v>1006</v>
      </c>
      <c r="BH33" s="340"/>
    </row>
    <row r="34" spans="1:60" ht="9" customHeight="1">
      <c r="A34" s="630"/>
      <c r="B34" s="630"/>
      <c r="C34" s="630"/>
      <c r="D34" s="630"/>
      <c r="E34" s="630"/>
      <c r="F34" s="630"/>
      <c r="G34" s="627"/>
      <c r="H34" s="628"/>
      <c r="I34" s="628"/>
      <c r="J34" s="628"/>
      <c r="K34" s="628"/>
      <c r="L34" s="629"/>
      <c r="M34" s="630"/>
      <c r="N34" s="630"/>
      <c r="O34" s="630"/>
      <c r="P34" s="630"/>
      <c r="Q34" s="627"/>
      <c r="R34" s="628"/>
      <c r="S34" s="629"/>
      <c r="T34" s="599" t="s">
        <v>1007</v>
      </c>
      <c r="U34" s="599"/>
      <c r="V34" s="599"/>
      <c r="W34" s="599"/>
      <c r="X34" s="599"/>
      <c r="Y34" s="599"/>
      <c r="Z34" s="387" t="s">
        <v>939</v>
      </c>
      <c r="AA34" s="387"/>
      <c r="AB34" s="387"/>
      <c r="AC34" s="387"/>
      <c r="AD34" s="387"/>
      <c r="AE34" s="387"/>
      <c r="AF34" s="599" t="s">
        <v>1008</v>
      </c>
      <c r="AG34" s="599"/>
      <c r="AH34" s="599"/>
      <c r="AI34" s="599"/>
      <c r="AJ34" s="599"/>
      <c r="AK34" s="599"/>
      <c r="AL34" s="387" t="s">
        <v>1009</v>
      </c>
      <c r="AM34" s="387"/>
      <c r="AN34" s="387"/>
      <c r="AO34" s="387"/>
      <c r="AP34" s="387"/>
      <c r="AQ34" s="387"/>
      <c r="AR34" s="611" t="s">
        <v>640</v>
      </c>
      <c r="AU34" s="386"/>
      <c r="AV34" s="386"/>
      <c r="AW34" s="386"/>
      <c r="AX34" s="386"/>
      <c r="AY34" s="386"/>
      <c r="AZ34" s="386"/>
      <c r="BA34" s="387"/>
      <c r="BB34" s="387"/>
      <c r="BC34" s="387"/>
      <c r="BD34" s="387"/>
      <c r="BE34" s="387"/>
      <c r="BF34" s="387"/>
      <c r="BG34" s="622"/>
      <c r="BH34" s="623"/>
    </row>
    <row r="35" spans="1:60" ht="9" customHeight="1">
      <c r="A35" s="386"/>
      <c r="B35" s="386"/>
      <c r="C35" s="386"/>
      <c r="D35" s="386"/>
      <c r="E35" s="386"/>
      <c r="F35" s="386"/>
      <c r="G35" s="369"/>
      <c r="H35" s="369"/>
      <c r="I35" s="369"/>
      <c r="J35" s="369"/>
      <c r="K35" s="369"/>
      <c r="L35" s="369"/>
      <c r="M35" s="556"/>
      <c r="N35" s="556"/>
      <c r="O35" s="612"/>
      <c r="P35" s="612"/>
      <c r="Q35" s="624"/>
      <c r="R35" s="625"/>
      <c r="S35" s="626"/>
      <c r="T35" s="599"/>
      <c r="U35" s="599"/>
      <c r="V35" s="599"/>
      <c r="W35" s="599"/>
      <c r="X35" s="599"/>
      <c r="Y35" s="599"/>
      <c r="Z35" s="387"/>
      <c r="AA35" s="387"/>
      <c r="AB35" s="387"/>
      <c r="AC35" s="387"/>
      <c r="AD35" s="387"/>
      <c r="AE35" s="387"/>
      <c r="AF35" s="599"/>
      <c r="AG35" s="599"/>
      <c r="AH35" s="599"/>
      <c r="AI35" s="599"/>
      <c r="AJ35" s="599"/>
      <c r="AK35" s="599"/>
      <c r="AL35" s="387"/>
      <c r="AM35" s="387"/>
      <c r="AN35" s="387"/>
      <c r="AO35" s="387"/>
      <c r="AP35" s="387"/>
      <c r="AQ35" s="387"/>
      <c r="AR35" s="611"/>
      <c r="AU35" s="369" t="s">
        <v>1010</v>
      </c>
      <c r="AV35" s="369"/>
      <c r="AW35" s="369"/>
      <c r="AX35" s="369"/>
      <c r="AY35" s="369"/>
      <c r="AZ35" s="369"/>
      <c r="BA35" s="387" t="s">
        <v>1005</v>
      </c>
      <c r="BB35" s="387"/>
      <c r="BC35" s="387"/>
      <c r="BD35" s="387"/>
      <c r="BE35" s="387"/>
      <c r="BF35" s="387"/>
      <c r="BG35" s="338" t="s">
        <v>1006</v>
      </c>
      <c r="BH35" s="340"/>
    </row>
    <row r="36" spans="1:60" ht="9" customHeight="1">
      <c r="A36" s="386"/>
      <c r="B36" s="386"/>
      <c r="C36" s="386"/>
      <c r="D36" s="386"/>
      <c r="E36" s="386"/>
      <c r="F36" s="386"/>
      <c r="G36" s="369"/>
      <c r="H36" s="369"/>
      <c r="I36" s="369"/>
      <c r="J36" s="369"/>
      <c r="K36" s="369"/>
      <c r="L36" s="369"/>
      <c r="M36" s="556"/>
      <c r="N36" s="556"/>
      <c r="O36" s="612"/>
      <c r="P36" s="612"/>
      <c r="Q36" s="627"/>
      <c r="R36" s="628"/>
      <c r="S36" s="629"/>
      <c r="T36" s="386" t="s">
        <v>1011</v>
      </c>
      <c r="U36" s="386"/>
      <c r="V36" s="386"/>
      <c r="W36" s="386"/>
      <c r="X36" s="386"/>
      <c r="Y36" s="386"/>
      <c r="Z36" s="387" t="s">
        <v>949</v>
      </c>
      <c r="AA36" s="387"/>
      <c r="AB36" s="387"/>
      <c r="AC36" s="387"/>
      <c r="AD36" s="387"/>
      <c r="AE36" s="387"/>
      <c r="AF36" s="599" t="s">
        <v>1012</v>
      </c>
      <c r="AG36" s="599"/>
      <c r="AH36" s="599"/>
      <c r="AI36" s="599"/>
      <c r="AJ36" s="599"/>
      <c r="AK36" s="599"/>
      <c r="AL36" s="387" t="s">
        <v>1009</v>
      </c>
      <c r="AM36" s="387"/>
      <c r="AN36" s="387"/>
      <c r="AO36" s="387"/>
      <c r="AP36" s="387"/>
      <c r="AQ36" s="387"/>
      <c r="AR36" s="611" t="s">
        <v>636</v>
      </c>
      <c r="AU36" s="369"/>
      <c r="AV36" s="369"/>
      <c r="AW36" s="369"/>
      <c r="AX36" s="369"/>
      <c r="AY36" s="369"/>
      <c r="AZ36" s="369"/>
      <c r="BA36" s="387"/>
      <c r="BB36" s="387"/>
      <c r="BC36" s="387"/>
      <c r="BD36" s="387"/>
      <c r="BE36" s="387"/>
      <c r="BF36" s="387"/>
      <c r="BG36" s="622"/>
      <c r="BH36" s="623"/>
    </row>
    <row r="37" spans="1:60" ht="9" customHeight="1">
      <c r="A37" s="386"/>
      <c r="B37" s="386"/>
      <c r="C37" s="386"/>
      <c r="D37" s="386"/>
      <c r="E37" s="386"/>
      <c r="F37" s="386"/>
      <c r="G37" s="369"/>
      <c r="H37" s="369"/>
      <c r="I37" s="369"/>
      <c r="J37" s="369"/>
      <c r="K37" s="369"/>
      <c r="L37" s="369"/>
      <c r="M37" s="556"/>
      <c r="N37" s="556"/>
      <c r="O37" s="612"/>
      <c r="P37" s="612"/>
      <c r="Q37" s="329"/>
      <c r="R37" s="607"/>
      <c r="S37" s="608"/>
      <c r="T37" s="386"/>
      <c r="U37" s="386"/>
      <c r="V37" s="386"/>
      <c r="W37" s="386"/>
      <c r="X37" s="386"/>
      <c r="Y37" s="386"/>
      <c r="Z37" s="387"/>
      <c r="AA37" s="387"/>
      <c r="AB37" s="387"/>
      <c r="AC37" s="387"/>
      <c r="AD37" s="387"/>
      <c r="AE37" s="387"/>
      <c r="AF37" s="599"/>
      <c r="AG37" s="599"/>
      <c r="AH37" s="599"/>
      <c r="AI37" s="599"/>
      <c r="AJ37" s="599"/>
      <c r="AK37" s="599"/>
      <c r="AL37" s="387"/>
      <c r="AM37" s="387"/>
      <c r="AN37" s="387"/>
      <c r="AO37" s="387"/>
      <c r="AP37" s="387"/>
      <c r="AQ37" s="387"/>
      <c r="AR37" s="611"/>
      <c r="AU37" s="386" t="s">
        <v>1013</v>
      </c>
      <c r="AV37" s="386"/>
      <c r="AW37" s="386"/>
      <c r="AX37" s="386"/>
      <c r="AY37" s="386"/>
      <c r="AZ37" s="386"/>
      <c r="BA37" s="387" t="s">
        <v>1014</v>
      </c>
      <c r="BB37" s="387"/>
      <c r="BC37" s="387"/>
      <c r="BD37" s="387"/>
      <c r="BE37" s="387"/>
      <c r="BF37" s="387"/>
      <c r="BG37" s="338" t="s">
        <v>1006</v>
      </c>
      <c r="BH37" s="340"/>
    </row>
    <row r="38" spans="1:60" ht="9" customHeight="1">
      <c r="A38" s="386"/>
      <c r="B38" s="386"/>
      <c r="C38" s="386"/>
      <c r="D38" s="386"/>
      <c r="E38" s="386"/>
      <c r="F38" s="386"/>
      <c r="G38" s="369"/>
      <c r="H38" s="369"/>
      <c r="I38" s="369"/>
      <c r="J38" s="369"/>
      <c r="K38" s="369"/>
      <c r="L38" s="369"/>
      <c r="M38" s="556"/>
      <c r="N38" s="556"/>
      <c r="O38" s="612"/>
      <c r="P38" s="612"/>
      <c r="Q38" s="362"/>
      <c r="R38" s="609"/>
      <c r="S38" s="610"/>
      <c r="T38" s="386" t="s">
        <v>1015</v>
      </c>
      <c r="U38" s="386"/>
      <c r="V38" s="386"/>
      <c r="W38" s="386"/>
      <c r="X38" s="386"/>
      <c r="Y38" s="386"/>
      <c r="Z38" s="387" t="s">
        <v>937</v>
      </c>
      <c r="AA38" s="387"/>
      <c r="AB38" s="387"/>
      <c r="AC38" s="387"/>
      <c r="AD38" s="387"/>
      <c r="AE38" s="387"/>
      <c r="AF38" s="599" t="s">
        <v>1016</v>
      </c>
      <c r="AG38" s="599"/>
      <c r="AH38" s="599"/>
      <c r="AI38" s="599"/>
      <c r="AJ38" s="599"/>
      <c r="AK38" s="599"/>
      <c r="AL38" s="387" t="s">
        <v>1017</v>
      </c>
      <c r="AM38" s="387"/>
      <c r="AN38" s="387"/>
      <c r="AO38" s="387"/>
      <c r="AP38" s="387"/>
      <c r="AQ38" s="387"/>
      <c r="AU38" s="386"/>
      <c r="AV38" s="386"/>
      <c r="AW38" s="386"/>
      <c r="AX38" s="386"/>
      <c r="AY38" s="386"/>
      <c r="AZ38" s="386"/>
      <c r="BA38" s="387"/>
      <c r="BB38" s="387"/>
      <c r="BC38" s="387"/>
      <c r="BD38" s="387"/>
      <c r="BE38" s="387"/>
      <c r="BF38" s="387"/>
      <c r="BG38" s="622"/>
      <c r="BH38" s="623"/>
    </row>
    <row r="39" spans="1:60" ht="9" customHeight="1">
      <c r="A39" s="618"/>
      <c r="B39" s="618"/>
      <c r="C39" s="618"/>
      <c r="D39" s="618"/>
      <c r="E39" s="618"/>
      <c r="F39" s="618"/>
      <c r="G39" s="410"/>
      <c r="H39" s="619"/>
      <c r="I39" s="619"/>
      <c r="J39" s="619"/>
      <c r="K39" s="619"/>
      <c r="L39" s="620"/>
      <c r="M39" s="556"/>
      <c r="N39" s="556"/>
      <c r="O39" s="612"/>
      <c r="P39" s="612"/>
      <c r="Q39" s="329"/>
      <c r="R39" s="607"/>
      <c r="S39" s="608"/>
      <c r="T39" s="386"/>
      <c r="U39" s="386"/>
      <c r="V39" s="386"/>
      <c r="W39" s="386"/>
      <c r="X39" s="386"/>
      <c r="Y39" s="386"/>
      <c r="Z39" s="387"/>
      <c r="AA39" s="387"/>
      <c r="AB39" s="387"/>
      <c r="AC39" s="387"/>
      <c r="AD39" s="387"/>
      <c r="AE39" s="387"/>
      <c r="AF39" s="599"/>
      <c r="AG39" s="599"/>
      <c r="AH39" s="599"/>
      <c r="AI39" s="599"/>
      <c r="AJ39" s="599"/>
      <c r="AK39" s="599"/>
      <c r="AL39" s="387"/>
      <c r="AM39" s="387"/>
      <c r="AN39" s="387"/>
      <c r="AO39" s="387"/>
      <c r="AP39" s="387"/>
      <c r="AQ39" s="387"/>
    </row>
    <row r="40" spans="1:60" ht="9" customHeight="1">
      <c r="A40" s="618"/>
      <c r="B40" s="618"/>
      <c r="C40" s="618"/>
      <c r="D40" s="618"/>
      <c r="E40" s="618"/>
      <c r="F40" s="618"/>
      <c r="G40" s="482"/>
      <c r="H40" s="327"/>
      <c r="I40" s="327"/>
      <c r="J40" s="327"/>
      <c r="K40" s="327"/>
      <c r="L40" s="621"/>
      <c r="M40" s="556"/>
      <c r="N40" s="556"/>
      <c r="O40" s="612"/>
      <c r="P40" s="612"/>
      <c r="Q40" s="362"/>
      <c r="R40" s="609"/>
      <c r="S40" s="610"/>
      <c r="T40" s="386" t="s">
        <v>1018</v>
      </c>
      <c r="U40" s="386"/>
      <c r="V40" s="386"/>
      <c r="W40" s="386"/>
      <c r="X40" s="386"/>
      <c r="Y40" s="386"/>
      <c r="Z40" s="387" t="s">
        <v>1019</v>
      </c>
      <c r="AA40" s="387"/>
      <c r="AB40" s="387"/>
      <c r="AC40" s="387"/>
      <c r="AD40" s="387"/>
      <c r="AE40" s="387"/>
      <c r="AF40" s="599" t="s">
        <v>1020</v>
      </c>
      <c r="AG40" s="599"/>
      <c r="AH40" s="599"/>
      <c r="AI40" s="599"/>
      <c r="AJ40" s="599"/>
      <c r="AK40" s="599"/>
      <c r="AL40" s="387" t="s">
        <v>1021</v>
      </c>
      <c r="AM40" s="387"/>
      <c r="AN40" s="387"/>
      <c r="AO40" s="387"/>
      <c r="AP40" s="387"/>
      <c r="AQ40" s="387"/>
      <c r="AR40" s="386" t="s">
        <v>980</v>
      </c>
      <c r="AS40" s="386"/>
      <c r="AT40" s="386"/>
      <c r="AU40" s="386"/>
      <c r="AV40" s="386"/>
      <c r="AW40" s="386"/>
      <c r="AX40" s="369" t="s">
        <v>1022</v>
      </c>
      <c r="AY40" s="369"/>
      <c r="AZ40" s="369"/>
      <c r="BA40" s="369"/>
      <c r="BB40" s="369"/>
      <c r="BC40" s="369"/>
    </row>
    <row r="41" spans="1:60" ht="9" customHeight="1">
      <c r="A41" s="618"/>
      <c r="B41" s="618"/>
      <c r="C41" s="618"/>
      <c r="D41" s="618"/>
      <c r="E41" s="618"/>
      <c r="F41" s="618"/>
      <c r="G41" s="410"/>
      <c r="H41" s="619"/>
      <c r="I41" s="619"/>
      <c r="J41" s="619"/>
      <c r="K41" s="619"/>
      <c r="L41" s="620"/>
      <c r="M41" s="556"/>
      <c r="N41" s="556"/>
      <c r="O41" s="612"/>
      <c r="P41" s="612"/>
      <c r="Q41" s="329"/>
      <c r="R41" s="607"/>
      <c r="S41" s="608"/>
      <c r="T41" s="386"/>
      <c r="U41" s="386"/>
      <c r="V41" s="386"/>
      <c r="W41" s="386"/>
      <c r="X41" s="386"/>
      <c r="Y41" s="386"/>
      <c r="Z41" s="387"/>
      <c r="AA41" s="387"/>
      <c r="AB41" s="387"/>
      <c r="AC41" s="387"/>
      <c r="AD41" s="387"/>
      <c r="AE41" s="387"/>
      <c r="AF41" s="599"/>
      <c r="AG41" s="599"/>
      <c r="AH41" s="599"/>
      <c r="AI41" s="599"/>
      <c r="AJ41" s="599"/>
      <c r="AK41" s="599"/>
      <c r="AL41" s="387"/>
      <c r="AM41" s="387"/>
      <c r="AN41" s="387"/>
      <c r="AO41" s="387"/>
      <c r="AP41" s="387"/>
      <c r="AQ41" s="387"/>
      <c r="AR41" s="386"/>
      <c r="AS41" s="386"/>
      <c r="AT41" s="386"/>
      <c r="AU41" s="386"/>
      <c r="AV41" s="386"/>
      <c r="AW41" s="386"/>
      <c r="AX41" s="369"/>
      <c r="AY41" s="369"/>
      <c r="AZ41" s="369"/>
      <c r="BA41" s="369"/>
      <c r="BB41" s="369"/>
      <c r="BC41" s="369"/>
    </row>
    <row r="42" spans="1:60" ht="9" customHeight="1">
      <c r="A42" s="618"/>
      <c r="B42" s="618"/>
      <c r="C42" s="618"/>
      <c r="D42" s="618"/>
      <c r="E42" s="618"/>
      <c r="F42" s="618"/>
      <c r="G42" s="482"/>
      <c r="H42" s="327"/>
      <c r="I42" s="327"/>
      <c r="J42" s="327"/>
      <c r="K42" s="327"/>
      <c r="L42" s="621"/>
      <c r="M42" s="556"/>
      <c r="N42" s="556"/>
      <c r="O42" s="612"/>
      <c r="P42" s="612"/>
      <c r="Q42" s="362"/>
      <c r="R42" s="609"/>
      <c r="S42" s="610"/>
      <c r="T42" s="386" t="s">
        <v>1023</v>
      </c>
      <c r="U42" s="386"/>
      <c r="V42" s="386"/>
      <c r="W42" s="386"/>
      <c r="X42" s="386"/>
      <c r="Y42" s="386"/>
      <c r="Z42" s="387" t="s">
        <v>955</v>
      </c>
      <c r="AA42" s="387"/>
      <c r="AB42" s="387"/>
      <c r="AC42" s="387"/>
      <c r="AD42" s="387"/>
      <c r="AE42" s="387"/>
      <c r="AF42" s="599" t="s">
        <v>1024</v>
      </c>
      <c r="AG42" s="599"/>
      <c r="AH42" s="599"/>
      <c r="AI42" s="599"/>
      <c r="AJ42" s="599"/>
      <c r="AK42" s="599"/>
      <c r="AL42" s="387" t="s">
        <v>1025</v>
      </c>
      <c r="AM42" s="387"/>
      <c r="AN42" s="387"/>
      <c r="AO42" s="387"/>
      <c r="AP42" s="387"/>
      <c r="AQ42" s="387"/>
    </row>
    <row r="43" spans="1:60" ht="9" customHeight="1">
      <c r="A43" s="567"/>
      <c r="B43" s="567"/>
      <c r="C43" s="567"/>
      <c r="D43" s="567"/>
      <c r="E43" s="567"/>
      <c r="F43" s="567"/>
      <c r="G43" s="329"/>
      <c r="H43" s="607"/>
      <c r="I43" s="607"/>
      <c r="J43" s="607"/>
      <c r="K43" s="607"/>
      <c r="L43" s="608"/>
      <c r="M43" s="556"/>
      <c r="N43" s="556"/>
      <c r="O43" s="612"/>
      <c r="P43" s="612"/>
      <c r="Q43" s="329"/>
      <c r="R43" s="607"/>
      <c r="S43" s="608"/>
      <c r="T43" s="386"/>
      <c r="U43" s="386"/>
      <c r="V43" s="386"/>
      <c r="W43" s="386"/>
      <c r="X43" s="386"/>
      <c r="Y43" s="386"/>
      <c r="Z43" s="387"/>
      <c r="AA43" s="387"/>
      <c r="AB43" s="387"/>
      <c r="AC43" s="387"/>
      <c r="AD43" s="387"/>
      <c r="AE43" s="387"/>
      <c r="AF43" s="599"/>
      <c r="AG43" s="599"/>
      <c r="AH43" s="599"/>
      <c r="AI43" s="599"/>
      <c r="AJ43" s="599"/>
      <c r="AK43" s="599"/>
      <c r="AL43" s="387"/>
      <c r="AM43" s="387"/>
      <c r="AN43" s="387"/>
      <c r="AO43" s="387"/>
      <c r="AP43" s="387"/>
      <c r="AQ43" s="387"/>
    </row>
    <row r="44" spans="1:60" ht="9" customHeight="1">
      <c r="A44" s="567"/>
      <c r="B44" s="567"/>
      <c r="C44" s="567"/>
      <c r="D44" s="567"/>
      <c r="E44" s="567"/>
      <c r="F44" s="567"/>
      <c r="G44" s="362"/>
      <c r="H44" s="609"/>
      <c r="I44" s="609"/>
      <c r="J44" s="609"/>
      <c r="K44" s="609"/>
      <c r="L44" s="610"/>
      <c r="M44" s="556"/>
      <c r="N44" s="556"/>
      <c r="O44" s="612"/>
      <c r="P44" s="612"/>
      <c r="Q44" s="362"/>
      <c r="R44" s="609"/>
      <c r="S44" s="610"/>
      <c r="T44" s="386" t="s">
        <v>280</v>
      </c>
      <c r="U44" s="386"/>
      <c r="V44" s="386"/>
      <c r="W44" s="386"/>
      <c r="X44" s="386"/>
      <c r="Y44" s="386"/>
      <c r="Z44" s="387" t="s">
        <v>959</v>
      </c>
      <c r="AA44" s="387"/>
      <c r="AB44" s="387"/>
      <c r="AC44" s="387"/>
      <c r="AD44" s="387"/>
      <c r="AE44" s="387"/>
      <c r="AF44" s="599" t="s">
        <v>1026</v>
      </c>
      <c r="AG44" s="599"/>
      <c r="AH44" s="599"/>
      <c r="AI44" s="599"/>
      <c r="AJ44" s="599"/>
      <c r="AK44" s="599"/>
      <c r="AL44" s="387" t="s">
        <v>1027</v>
      </c>
      <c r="AM44" s="387"/>
      <c r="AN44" s="387"/>
      <c r="AO44" s="387"/>
      <c r="AP44" s="387"/>
      <c r="AQ44" s="387"/>
    </row>
    <row r="45" spans="1:60" ht="9" customHeight="1">
      <c r="A45" s="567"/>
      <c r="B45" s="567"/>
      <c r="C45" s="567"/>
      <c r="D45" s="567"/>
      <c r="E45" s="567"/>
      <c r="F45" s="567"/>
      <c r="G45" s="329"/>
      <c r="H45" s="607"/>
      <c r="I45" s="607"/>
      <c r="J45" s="607"/>
      <c r="K45" s="607"/>
      <c r="L45" s="608"/>
      <c r="M45" s="556"/>
      <c r="N45" s="556"/>
      <c r="O45" s="612"/>
      <c r="P45" s="612"/>
      <c r="Q45" s="329"/>
      <c r="R45" s="607"/>
      <c r="S45" s="608"/>
      <c r="T45" s="386"/>
      <c r="U45" s="386"/>
      <c r="V45" s="386"/>
      <c r="W45" s="386"/>
      <c r="X45" s="386"/>
      <c r="Y45" s="386"/>
      <c r="Z45" s="387"/>
      <c r="AA45" s="387"/>
      <c r="AB45" s="387"/>
      <c r="AC45" s="387"/>
      <c r="AD45" s="387"/>
      <c r="AE45" s="387"/>
      <c r="AF45" s="599"/>
      <c r="AG45" s="599"/>
      <c r="AH45" s="599"/>
      <c r="AI45" s="599"/>
      <c r="AJ45" s="599"/>
      <c r="AK45" s="599"/>
      <c r="AL45" s="387"/>
      <c r="AM45" s="387"/>
      <c r="AN45" s="387"/>
      <c r="AO45" s="387"/>
      <c r="AP45" s="387"/>
      <c r="AQ45" s="387"/>
      <c r="AU45" s="386" t="s">
        <v>1028</v>
      </c>
      <c r="AV45" s="386"/>
      <c r="AW45" s="386"/>
      <c r="AX45" s="386"/>
      <c r="AY45" s="386"/>
      <c r="AZ45" s="386"/>
      <c r="BA45" s="387" t="s">
        <v>959</v>
      </c>
      <c r="BB45" s="387"/>
      <c r="BC45" s="387"/>
      <c r="BD45" s="387"/>
      <c r="BE45" s="387"/>
      <c r="BF45" s="387"/>
      <c r="BG45" s="614"/>
      <c r="BH45" s="615"/>
    </row>
    <row r="46" spans="1:60" ht="9" customHeight="1">
      <c r="A46" s="567"/>
      <c r="B46" s="567"/>
      <c r="C46" s="567"/>
      <c r="D46" s="567"/>
      <c r="E46" s="567"/>
      <c r="F46" s="567"/>
      <c r="G46" s="362"/>
      <c r="H46" s="609"/>
      <c r="I46" s="609"/>
      <c r="J46" s="609"/>
      <c r="K46" s="609"/>
      <c r="L46" s="610"/>
      <c r="M46" s="556"/>
      <c r="N46" s="556"/>
      <c r="O46" s="612"/>
      <c r="P46" s="612"/>
      <c r="Q46" s="362"/>
      <c r="R46" s="609"/>
      <c r="S46" s="610"/>
      <c r="T46" s="386" t="s">
        <v>283</v>
      </c>
      <c r="U46" s="386"/>
      <c r="V46" s="386"/>
      <c r="W46" s="386"/>
      <c r="X46" s="386"/>
      <c r="Y46" s="386"/>
      <c r="Z46" s="598" t="s">
        <v>930</v>
      </c>
      <c r="AA46" s="598"/>
      <c r="AB46" s="598"/>
      <c r="AC46" s="598"/>
      <c r="AD46" s="598"/>
      <c r="AE46" s="598"/>
      <c r="AF46" s="386" t="s">
        <v>1029</v>
      </c>
      <c r="AG46" s="386"/>
      <c r="AH46" s="386"/>
      <c r="AI46" s="386"/>
      <c r="AJ46" s="386"/>
      <c r="AK46" s="386"/>
      <c r="AL46" s="387" t="s">
        <v>1030</v>
      </c>
      <c r="AM46" s="387"/>
      <c r="AN46" s="387"/>
      <c r="AO46" s="387"/>
      <c r="AP46" s="387"/>
      <c r="AQ46" s="387"/>
      <c r="AU46" s="386"/>
      <c r="AV46" s="386"/>
      <c r="AW46" s="386"/>
      <c r="AX46" s="386"/>
      <c r="AY46" s="386"/>
      <c r="AZ46" s="386"/>
      <c r="BA46" s="387"/>
      <c r="BB46" s="387"/>
      <c r="BC46" s="387"/>
      <c r="BD46" s="387"/>
      <c r="BE46" s="387"/>
      <c r="BF46" s="387"/>
      <c r="BG46" s="616"/>
      <c r="BH46" s="617"/>
    </row>
    <row r="47" spans="1:60" ht="9" customHeight="1">
      <c r="A47" s="567"/>
      <c r="B47" s="567"/>
      <c r="C47" s="567"/>
      <c r="D47" s="567"/>
      <c r="E47" s="567"/>
      <c r="F47" s="567"/>
      <c r="G47" s="329"/>
      <c r="H47" s="607"/>
      <c r="I47" s="607"/>
      <c r="J47" s="607"/>
      <c r="K47" s="607"/>
      <c r="L47" s="608"/>
      <c r="M47" s="556"/>
      <c r="N47" s="556"/>
      <c r="O47" s="612"/>
      <c r="P47" s="612"/>
      <c r="Q47" s="329"/>
      <c r="R47" s="607"/>
      <c r="S47" s="608"/>
      <c r="T47" s="386"/>
      <c r="U47" s="386"/>
      <c r="V47" s="386"/>
      <c r="W47" s="386"/>
      <c r="X47" s="386"/>
      <c r="Y47" s="386"/>
      <c r="Z47" s="598"/>
      <c r="AA47" s="598"/>
      <c r="AB47" s="598"/>
      <c r="AC47" s="598"/>
      <c r="AD47" s="598"/>
      <c r="AE47" s="598"/>
      <c r="AF47" s="386"/>
      <c r="AG47" s="386"/>
      <c r="AH47" s="386"/>
      <c r="AI47" s="386"/>
      <c r="AJ47" s="386"/>
      <c r="AK47" s="386"/>
      <c r="AL47" s="387"/>
      <c r="AM47" s="387"/>
      <c r="AN47" s="387"/>
      <c r="AO47" s="387"/>
      <c r="AP47" s="387"/>
      <c r="AQ47" s="387"/>
      <c r="AU47" s="386" t="s">
        <v>1031</v>
      </c>
      <c r="AV47" s="386"/>
      <c r="AW47" s="386"/>
      <c r="AX47" s="386"/>
      <c r="AY47" s="386"/>
      <c r="AZ47" s="386"/>
      <c r="BA47" s="387" t="s">
        <v>955</v>
      </c>
      <c r="BB47" s="387"/>
      <c r="BC47" s="387"/>
      <c r="BD47" s="387"/>
      <c r="BE47" s="387"/>
      <c r="BF47" s="387"/>
      <c r="BG47" s="614"/>
      <c r="BH47" s="615"/>
    </row>
    <row r="48" spans="1:60" ht="9" customHeight="1">
      <c r="A48" s="567"/>
      <c r="B48" s="567"/>
      <c r="C48" s="567"/>
      <c r="D48" s="567"/>
      <c r="E48" s="567"/>
      <c r="F48" s="567"/>
      <c r="G48" s="362"/>
      <c r="H48" s="609"/>
      <c r="I48" s="609"/>
      <c r="J48" s="609"/>
      <c r="K48" s="609"/>
      <c r="L48" s="610"/>
      <c r="M48" s="556"/>
      <c r="N48" s="556"/>
      <c r="O48" s="612"/>
      <c r="P48" s="612"/>
      <c r="Q48" s="362"/>
      <c r="R48" s="609"/>
      <c r="S48" s="610"/>
      <c r="T48" s="386" t="s">
        <v>282</v>
      </c>
      <c r="U48" s="386"/>
      <c r="V48" s="386"/>
      <c r="W48" s="386"/>
      <c r="X48" s="386"/>
      <c r="Y48" s="386"/>
      <c r="Z48" s="598" t="s">
        <v>1032</v>
      </c>
      <c r="AA48" s="598"/>
      <c r="AB48" s="598"/>
      <c r="AC48" s="598"/>
      <c r="AD48" s="598"/>
      <c r="AE48" s="598"/>
      <c r="AF48" s="599" t="s">
        <v>1033</v>
      </c>
      <c r="AG48" s="599"/>
      <c r="AH48" s="599"/>
      <c r="AI48" s="599"/>
      <c r="AJ48" s="599"/>
      <c r="AK48" s="599"/>
      <c r="AL48" s="387" t="s">
        <v>1034</v>
      </c>
      <c r="AM48" s="387"/>
      <c r="AN48" s="387"/>
      <c r="AO48" s="387"/>
      <c r="AP48" s="387"/>
      <c r="AQ48" s="387"/>
      <c r="AU48" s="386"/>
      <c r="AV48" s="386"/>
      <c r="AW48" s="386"/>
      <c r="AX48" s="386"/>
      <c r="AY48" s="386"/>
      <c r="AZ48" s="386"/>
      <c r="BA48" s="387"/>
      <c r="BB48" s="387"/>
      <c r="BC48" s="387"/>
      <c r="BD48" s="387"/>
      <c r="BE48" s="387"/>
      <c r="BF48" s="387"/>
      <c r="BG48" s="616"/>
      <c r="BH48" s="617"/>
    </row>
    <row r="49" spans="1:46" ht="9" customHeight="1">
      <c r="A49" s="567"/>
      <c r="B49" s="567"/>
      <c r="C49" s="567"/>
      <c r="D49" s="567"/>
      <c r="E49" s="567"/>
      <c r="F49" s="567"/>
      <c r="G49" s="329"/>
      <c r="H49" s="607"/>
      <c r="I49" s="607"/>
      <c r="J49" s="607"/>
      <c r="K49" s="607"/>
      <c r="L49" s="608"/>
      <c r="M49" s="556"/>
      <c r="N49" s="556"/>
      <c r="O49" s="612"/>
      <c r="P49" s="612"/>
      <c r="Q49" s="329"/>
      <c r="R49" s="607"/>
      <c r="S49" s="608"/>
      <c r="T49" s="386"/>
      <c r="U49" s="386"/>
      <c r="V49" s="386"/>
      <c r="W49" s="386"/>
      <c r="X49" s="386"/>
      <c r="Y49" s="386"/>
      <c r="Z49" s="598"/>
      <c r="AA49" s="598"/>
      <c r="AB49" s="598"/>
      <c r="AC49" s="598"/>
      <c r="AD49" s="598"/>
      <c r="AE49" s="598"/>
      <c r="AF49" s="599"/>
      <c r="AG49" s="599"/>
      <c r="AH49" s="599"/>
      <c r="AI49" s="599"/>
      <c r="AJ49" s="599"/>
      <c r="AK49" s="599"/>
      <c r="AL49" s="387"/>
      <c r="AM49" s="387"/>
      <c r="AN49" s="387"/>
      <c r="AO49" s="387"/>
      <c r="AP49" s="387"/>
      <c r="AQ49" s="387"/>
    </row>
    <row r="50" spans="1:46" ht="9" customHeight="1">
      <c r="A50" s="567"/>
      <c r="B50" s="567"/>
      <c r="C50" s="567"/>
      <c r="D50" s="567"/>
      <c r="E50" s="567"/>
      <c r="F50" s="567"/>
      <c r="G50" s="362"/>
      <c r="H50" s="609"/>
      <c r="I50" s="609"/>
      <c r="J50" s="609"/>
      <c r="K50" s="609"/>
      <c r="L50" s="610"/>
      <c r="M50" s="556"/>
      <c r="N50" s="556"/>
      <c r="O50" s="612"/>
      <c r="P50" s="612"/>
      <c r="Q50" s="362"/>
      <c r="R50" s="609"/>
      <c r="S50" s="610"/>
      <c r="T50" s="386" t="s">
        <v>1035</v>
      </c>
      <c r="U50" s="386"/>
      <c r="V50" s="386"/>
      <c r="W50" s="386"/>
      <c r="X50" s="386"/>
      <c r="Y50" s="386"/>
      <c r="Z50" s="387" t="s">
        <v>1036</v>
      </c>
      <c r="AA50" s="387"/>
      <c r="AB50" s="387"/>
      <c r="AC50" s="387"/>
      <c r="AD50" s="387"/>
      <c r="AE50" s="387"/>
      <c r="AF50" s="599" t="s">
        <v>1037</v>
      </c>
      <c r="AG50" s="599"/>
      <c r="AH50" s="599"/>
      <c r="AI50" s="599"/>
      <c r="AJ50" s="599"/>
      <c r="AK50" s="599"/>
      <c r="AL50" s="387" t="s">
        <v>590</v>
      </c>
      <c r="AM50" s="387"/>
      <c r="AN50" s="387"/>
      <c r="AO50" s="387"/>
      <c r="AP50" s="387"/>
      <c r="AQ50" s="387"/>
    </row>
    <row r="51" spans="1:46" ht="9" customHeight="1">
      <c r="A51" s="567"/>
      <c r="B51" s="567"/>
      <c r="C51" s="567"/>
      <c r="D51" s="567"/>
      <c r="E51" s="567"/>
      <c r="F51" s="567"/>
      <c r="G51" s="329"/>
      <c r="H51" s="607"/>
      <c r="I51" s="607"/>
      <c r="J51" s="607"/>
      <c r="K51" s="607"/>
      <c r="L51" s="608"/>
      <c r="M51" s="556"/>
      <c r="N51" s="556"/>
      <c r="O51" s="612"/>
      <c r="P51" s="612"/>
      <c r="Q51" s="329"/>
      <c r="R51" s="607"/>
      <c r="S51" s="608"/>
      <c r="T51" s="386"/>
      <c r="U51" s="386"/>
      <c r="V51" s="386"/>
      <c r="W51" s="386"/>
      <c r="X51" s="386"/>
      <c r="Y51" s="386"/>
      <c r="Z51" s="387"/>
      <c r="AA51" s="387"/>
      <c r="AB51" s="387"/>
      <c r="AC51" s="387"/>
      <c r="AD51" s="387"/>
      <c r="AE51" s="387"/>
      <c r="AF51" s="599"/>
      <c r="AG51" s="599"/>
      <c r="AH51" s="599"/>
      <c r="AI51" s="599"/>
      <c r="AJ51" s="599"/>
      <c r="AK51" s="599"/>
      <c r="AL51" s="387"/>
      <c r="AM51" s="387"/>
      <c r="AN51" s="387"/>
      <c r="AO51" s="387"/>
      <c r="AP51" s="387"/>
      <c r="AQ51" s="387"/>
    </row>
    <row r="52" spans="1:46" ht="9" customHeight="1">
      <c r="A52" s="567"/>
      <c r="B52" s="567"/>
      <c r="C52" s="567"/>
      <c r="D52" s="567"/>
      <c r="E52" s="567"/>
      <c r="F52" s="567"/>
      <c r="G52" s="362"/>
      <c r="H52" s="609"/>
      <c r="I52" s="609"/>
      <c r="J52" s="609"/>
      <c r="K52" s="609"/>
      <c r="L52" s="610"/>
      <c r="M52" s="556"/>
      <c r="N52" s="556"/>
      <c r="O52" s="612"/>
      <c r="P52" s="612"/>
      <c r="Q52" s="362"/>
      <c r="R52" s="609"/>
      <c r="S52" s="610"/>
      <c r="T52" s="386" t="s">
        <v>1038</v>
      </c>
      <c r="U52" s="386"/>
      <c r="V52" s="386"/>
      <c r="W52" s="386"/>
      <c r="X52" s="386"/>
      <c r="Y52" s="386"/>
      <c r="Z52" s="598" t="s">
        <v>1039</v>
      </c>
      <c r="AA52" s="598"/>
      <c r="AB52" s="598"/>
      <c r="AC52" s="598"/>
      <c r="AD52" s="598"/>
      <c r="AE52" s="598"/>
      <c r="AF52" s="599" t="s">
        <v>1040</v>
      </c>
      <c r="AG52" s="599"/>
      <c r="AH52" s="599"/>
      <c r="AI52" s="599"/>
      <c r="AJ52" s="599"/>
      <c r="AK52" s="599"/>
      <c r="AL52" s="387" t="s">
        <v>1041</v>
      </c>
      <c r="AM52" s="387"/>
      <c r="AN52" s="387"/>
      <c r="AO52" s="387"/>
      <c r="AP52" s="387"/>
      <c r="AQ52" s="387"/>
    </row>
    <row r="53" spans="1:46" ht="9" customHeight="1">
      <c r="A53" s="567"/>
      <c r="B53" s="567"/>
      <c r="C53" s="567"/>
      <c r="D53" s="567"/>
      <c r="E53" s="567"/>
      <c r="F53" s="567"/>
      <c r="G53" s="329"/>
      <c r="H53" s="607"/>
      <c r="I53" s="607"/>
      <c r="J53" s="607"/>
      <c r="K53" s="607"/>
      <c r="L53" s="608"/>
      <c r="M53" s="556"/>
      <c r="N53" s="556"/>
      <c r="O53" s="612"/>
      <c r="P53" s="612"/>
      <c r="Q53" s="329"/>
      <c r="R53" s="607"/>
      <c r="S53" s="608"/>
      <c r="T53" s="386"/>
      <c r="U53" s="386"/>
      <c r="V53" s="386"/>
      <c r="W53" s="386"/>
      <c r="X53" s="386"/>
      <c r="Y53" s="386"/>
      <c r="Z53" s="598"/>
      <c r="AA53" s="598"/>
      <c r="AB53" s="598"/>
      <c r="AC53" s="598"/>
      <c r="AD53" s="598"/>
      <c r="AE53" s="598"/>
      <c r="AF53" s="599"/>
      <c r="AG53" s="599"/>
      <c r="AH53" s="599"/>
      <c r="AI53" s="599"/>
      <c r="AJ53" s="599"/>
      <c r="AK53" s="599"/>
      <c r="AL53" s="387"/>
      <c r="AM53" s="387"/>
      <c r="AN53" s="387"/>
      <c r="AO53" s="387"/>
      <c r="AP53" s="387"/>
      <c r="AQ53" s="387"/>
    </row>
    <row r="54" spans="1:46" ht="9" customHeight="1">
      <c r="A54" s="567"/>
      <c r="B54" s="567"/>
      <c r="C54" s="567"/>
      <c r="D54" s="567"/>
      <c r="E54" s="567"/>
      <c r="F54" s="567"/>
      <c r="G54" s="362"/>
      <c r="H54" s="609"/>
      <c r="I54" s="609"/>
      <c r="J54" s="609"/>
      <c r="K54" s="609"/>
      <c r="L54" s="610"/>
      <c r="M54" s="556"/>
      <c r="N54" s="556"/>
      <c r="O54" s="612"/>
      <c r="P54" s="612"/>
      <c r="Q54" s="362"/>
      <c r="R54" s="609"/>
      <c r="S54" s="610"/>
      <c r="T54" s="613" t="s">
        <v>1042</v>
      </c>
      <c r="U54" s="613"/>
      <c r="V54" s="613"/>
      <c r="W54" s="613"/>
      <c r="X54" s="613"/>
      <c r="Y54" s="613"/>
      <c r="Z54" s="598"/>
      <c r="AA54" s="598"/>
      <c r="AB54" s="598"/>
      <c r="AC54" s="598"/>
      <c r="AD54" s="598"/>
      <c r="AE54" s="598"/>
      <c r="AF54" s="599" t="s">
        <v>1043</v>
      </c>
      <c r="AG54" s="599"/>
      <c r="AH54" s="599"/>
      <c r="AI54" s="599"/>
      <c r="AJ54" s="599"/>
      <c r="AK54" s="599"/>
      <c r="AL54" s="387" t="s">
        <v>590</v>
      </c>
      <c r="AM54" s="387"/>
      <c r="AN54" s="387"/>
      <c r="AO54" s="387"/>
      <c r="AP54" s="387"/>
      <c r="AQ54" s="387"/>
      <c r="AR54" s="611" t="s">
        <v>1044</v>
      </c>
      <c r="AS54" s="448"/>
    </row>
    <row r="55" spans="1:46" ht="9" customHeight="1">
      <c r="A55" s="567"/>
      <c r="B55" s="567"/>
      <c r="C55" s="567"/>
      <c r="D55" s="567"/>
      <c r="E55" s="567"/>
      <c r="F55" s="567"/>
      <c r="G55" s="329"/>
      <c r="H55" s="607"/>
      <c r="I55" s="607"/>
      <c r="J55" s="607"/>
      <c r="K55" s="607"/>
      <c r="L55" s="608"/>
      <c r="M55" s="556"/>
      <c r="N55" s="556"/>
      <c r="O55" s="612"/>
      <c r="P55" s="612"/>
      <c r="Q55" s="329"/>
      <c r="R55" s="607"/>
      <c r="S55" s="608"/>
      <c r="T55" s="613"/>
      <c r="U55" s="613"/>
      <c r="V55" s="613"/>
      <c r="W55" s="613"/>
      <c r="X55" s="613"/>
      <c r="Y55" s="613"/>
      <c r="Z55" s="598"/>
      <c r="AA55" s="598"/>
      <c r="AB55" s="598"/>
      <c r="AC55" s="598"/>
      <c r="AD55" s="598"/>
      <c r="AE55" s="598"/>
      <c r="AF55" s="599"/>
      <c r="AG55" s="599"/>
      <c r="AH55" s="599"/>
      <c r="AI55" s="599"/>
      <c r="AJ55" s="599"/>
      <c r="AK55" s="599"/>
      <c r="AL55" s="387"/>
      <c r="AM55" s="387"/>
      <c r="AN55" s="387"/>
      <c r="AO55" s="387"/>
      <c r="AP55" s="387"/>
      <c r="AQ55" s="387"/>
      <c r="AR55" s="611"/>
      <c r="AS55" s="448"/>
    </row>
    <row r="56" spans="1:46" ht="9" customHeight="1">
      <c r="A56" s="567"/>
      <c r="B56" s="567"/>
      <c r="C56" s="567"/>
      <c r="D56" s="567"/>
      <c r="E56" s="567"/>
      <c r="F56" s="567"/>
      <c r="G56" s="362"/>
      <c r="H56" s="609"/>
      <c r="I56" s="609"/>
      <c r="J56" s="609"/>
      <c r="K56" s="609"/>
      <c r="L56" s="610"/>
      <c r="M56" s="556"/>
      <c r="N56" s="556"/>
      <c r="O56" s="612"/>
      <c r="P56" s="612"/>
      <c r="Q56" s="362"/>
      <c r="R56" s="609"/>
      <c r="S56" s="610"/>
      <c r="T56" s="386" t="s">
        <v>1045</v>
      </c>
      <c r="U56" s="386"/>
      <c r="V56" s="386"/>
      <c r="W56" s="386"/>
      <c r="X56" s="386"/>
      <c r="Y56" s="386"/>
      <c r="Z56" s="387" t="s">
        <v>1046</v>
      </c>
      <c r="AA56" s="387"/>
      <c r="AB56" s="387"/>
      <c r="AC56" s="387"/>
      <c r="AD56" s="387"/>
      <c r="AE56" s="387"/>
      <c r="AF56" s="599" t="s">
        <v>1047</v>
      </c>
      <c r="AG56" s="599"/>
      <c r="AH56" s="599"/>
      <c r="AI56" s="599"/>
      <c r="AJ56" s="599"/>
      <c r="AK56" s="599"/>
      <c r="AL56" s="387" t="s">
        <v>590</v>
      </c>
      <c r="AM56" s="387"/>
      <c r="AN56" s="387"/>
      <c r="AO56" s="387"/>
      <c r="AP56" s="387"/>
      <c r="AQ56" s="387"/>
      <c r="AR56" s="611" t="s">
        <v>1048</v>
      </c>
      <c r="AS56" s="448"/>
      <c r="AT56" s="448"/>
    </row>
    <row r="57" spans="1:46" ht="9" customHeight="1">
      <c r="A57" s="567"/>
      <c r="B57" s="567"/>
      <c r="C57" s="567"/>
      <c r="D57" s="567"/>
      <c r="E57" s="567"/>
      <c r="F57" s="567"/>
      <c r="G57" s="329"/>
      <c r="H57" s="607"/>
      <c r="I57" s="607"/>
      <c r="J57" s="607"/>
      <c r="K57" s="607"/>
      <c r="L57" s="608"/>
      <c r="M57" s="556"/>
      <c r="N57" s="556"/>
      <c r="O57" s="612"/>
      <c r="P57" s="612"/>
      <c r="Q57" s="329"/>
      <c r="R57" s="607"/>
      <c r="S57" s="608"/>
      <c r="T57" s="386"/>
      <c r="U57" s="386"/>
      <c r="V57" s="386"/>
      <c r="W57" s="386"/>
      <c r="X57" s="386"/>
      <c r="Y57" s="386"/>
      <c r="Z57" s="387"/>
      <c r="AA57" s="387"/>
      <c r="AB57" s="387"/>
      <c r="AC57" s="387"/>
      <c r="AD57" s="387"/>
      <c r="AE57" s="387"/>
      <c r="AF57" s="599"/>
      <c r="AG57" s="599"/>
      <c r="AH57" s="599"/>
      <c r="AI57" s="599"/>
      <c r="AJ57" s="599"/>
      <c r="AK57" s="599"/>
      <c r="AL57" s="387"/>
      <c r="AM57" s="387"/>
      <c r="AN57" s="387"/>
      <c r="AO57" s="387"/>
      <c r="AP57" s="387"/>
      <c r="AQ57" s="387"/>
      <c r="AR57" s="611"/>
      <c r="AS57" s="448"/>
      <c r="AT57" s="448"/>
    </row>
    <row r="58" spans="1:46" ht="9" customHeight="1">
      <c r="A58" s="567"/>
      <c r="B58" s="567"/>
      <c r="C58" s="567"/>
      <c r="D58" s="567"/>
      <c r="E58" s="567"/>
      <c r="F58" s="567"/>
      <c r="G58" s="362"/>
      <c r="H58" s="609"/>
      <c r="I58" s="609"/>
      <c r="J58" s="609"/>
      <c r="K58" s="609"/>
      <c r="L58" s="610"/>
      <c r="M58" s="556"/>
      <c r="N58" s="556"/>
      <c r="O58" s="612"/>
      <c r="P58" s="612"/>
      <c r="Q58" s="362"/>
      <c r="R58" s="609"/>
      <c r="S58" s="610"/>
      <c r="T58" s="386" t="s">
        <v>1049</v>
      </c>
      <c r="U58" s="386"/>
      <c r="V58" s="386"/>
      <c r="W58" s="386"/>
      <c r="X58" s="386"/>
      <c r="Y58" s="386"/>
      <c r="Z58" s="387" t="s">
        <v>949</v>
      </c>
      <c r="AA58" s="387"/>
      <c r="AB58" s="387"/>
      <c r="AC58" s="387"/>
      <c r="AD58" s="387"/>
      <c r="AE58" s="387"/>
      <c r="AF58" s="599" t="s">
        <v>1050</v>
      </c>
      <c r="AG58" s="599"/>
      <c r="AH58" s="599"/>
      <c r="AI58" s="599"/>
      <c r="AJ58" s="599"/>
      <c r="AK58" s="599"/>
      <c r="AL58" s="387" t="s">
        <v>1041</v>
      </c>
      <c r="AM58" s="387"/>
      <c r="AN58" s="387"/>
      <c r="AO58" s="387"/>
      <c r="AP58" s="387"/>
      <c r="AQ58" s="387"/>
      <c r="AR58" s="611" t="s">
        <v>1048</v>
      </c>
      <c r="AS58" s="448"/>
      <c r="AT58" s="448"/>
    </row>
    <row r="59" spans="1:46" ht="9" customHeight="1">
      <c r="A59" s="567"/>
      <c r="B59" s="567"/>
      <c r="C59" s="567"/>
      <c r="D59" s="567"/>
      <c r="E59" s="567"/>
      <c r="F59" s="567"/>
      <c r="G59" s="329"/>
      <c r="H59" s="607"/>
      <c r="I59" s="607"/>
      <c r="J59" s="607"/>
      <c r="K59" s="607"/>
      <c r="L59" s="608"/>
      <c r="M59" s="556"/>
      <c r="N59" s="556"/>
      <c r="O59" s="575"/>
      <c r="P59" s="575"/>
      <c r="Q59" s="329"/>
      <c r="R59" s="607"/>
      <c r="S59" s="608"/>
      <c r="T59" s="386"/>
      <c r="U59" s="386"/>
      <c r="V59" s="386"/>
      <c r="W59" s="386"/>
      <c r="X59" s="386"/>
      <c r="Y59" s="386"/>
      <c r="Z59" s="387"/>
      <c r="AA59" s="387"/>
      <c r="AB59" s="387"/>
      <c r="AC59" s="387"/>
      <c r="AD59" s="387"/>
      <c r="AE59" s="387"/>
      <c r="AF59" s="599"/>
      <c r="AG59" s="599"/>
      <c r="AH59" s="599"/>
      <c r="AI59" s="599"/>
      <c r="AJ59" s="599"/>
      <c r="AK59" s="599"/>
      <c r="AL59" s="387"/>
      <c r="AM59" s="387"/>
      <c r="AN59" s="387"/>
      <c r="AO59" s="387"/>
      <c r="AP59" s="387"/>
      <c r="AQ59" s="387"/>
      <c r="AR59" s="611"/>
      <c r="AS59" s="448"/>
      <c r="AT59" s="448"/>
    </row>
    <row r="60" spans="1:46" ht="9" customHeight="1">
      <c r="A60" s="567"/>
      <c r="B60" s="567"/>
      <c r="C60" s="567"/>
      <c r="D60" s="567"/>
      <c r="E60" s="567"/>
      <c r="F60" s="567"/>
      <c r="G60" s="362"/>
      <c r="H60" s="609"/>
      <c r="I60" s="609"/>
      <c r="J60" s="609"/>
      <c r="K60" s="609"/>
      <c r="L60" s="610"/>
      <c r="M60" s="556"/>
      <c r="N60" s="556"/>
      <c r="O60" s="575"/>
      <c r="P60" s="575"/>
      <c r="Q60" s="362"/>
      <c r="R60" s="609"/>
      <c r="S60" s="610"/>
      <c r="T60" s="386" t="s">
        <v>1051</v>
      </c>
      <c r="U60" s="386"/>
      <c r="V60" s="386"/>
      <c r="W60" s="386"/>
      <c r="X60" s="386"/>
      <c r="Y60" s="386"/>
      <c r="Z60" s="387" t="s">
        <v>947</v>
      </c>
      <c r="AA60" s="387"/>
      <c r="AB60" s="387"/>
      <c r="AC60" s="387"/>
      <c r="AD60" s="387"/>
      <c r="AE60" s="387"/>
      <c r="AF60" s="599" t="s">
        <v>1052</v>
      </c>
      <c r="AG60" s="599"/>
      <c r="AH60" s="599"/>
      <c r="AI60" s="599"/>
      <c r="AJ60" s="599"/>
      <c r="AK60" s="599"/>
      <c r="AL60" s="387"/>
      <c r="AM60" s="387"/>
      <c r="AN60" s="387"/>
      <c r="AO60" s="387"/>
      <c r="AP60" s="387"/>
      <c r="AQ60" s="387"/>
    </row>
    <row r="61" spans="1:46" ht="9" customHeight="1">
      <c r="A61" s="567"/>
      <c r="B61" s="567"/>
      <c r="C61" s="567"/>
      <c r="D61" s="567"/>
      <c r="E61" s="567"/>
      <c r="F61" s="567"/>
      <c r="G61" s="329"/>
      <c r="H61" s="607"/>
      <c r="I61" s="607"/>
      <c r="J61" s="607"/>
      <c r="K61" s="607"/>
      <c r="L61" s="608"/>
      <c r="M61" s="556"/>
      <c r="N61" s="556"/>
      <c r="O61" s="575"/>
      <c r="P61" s="575"/>
      <c r="Q61" s="329"/>
      <c r="R61" s="607"/>
      <c r="S61" s="608"/>
      <c r="T61" s="386"/>
      <c r="U61" s="386"/>
      <c r="V61" s="386"/>
      <c r="W61" s="386"/>
      <c r="X61" s="386"/>
      <c r="Y61" s="386"/>
      <c r="Z61" s="387"/>
      <c r="AA61" s="387"/>
      <c r="AB61" s="387"/>
      <c r="AC61" s="387"/>
      <c r="AD61" s="387"/>
      <c r="AE61" s="387"/>
      <c r="AF61" s="599"/>
      <c r="AG61" s="599"/>
      <c r="AH61" s="599"/>
      <c r="AI61" s="599"/>
      <c r="AJ61" s="599"/>
      <c r="AK61" s="599"/>
      <c r="AL61" s="387"/>
      <c r="AM61" s="387"/>
      <c r="AN61" s="387"/>
      <c r="AO61" s="387"/>
      <c r="AP61" s="387"/>
      <c r="AQ61" s="387"/>
    </row>
    <row r="62" spans="1:46" ht="9" customHeight="1">
      <c r="A62" s="567"/>
      <c r="B62" s="567"/>
      <c r="C62" s="567"/>
      <c r="D62" s="567"/>
      <c r="E62" s="567"/>
      <c r="F62" s="567"/>
      <c r="G62" s="362"/>
      <c r="H62" s="609"/>
      <c r="I62" s="609"/>
      <c r="J62" s="609"/>
      <c r="K62" s="609"/>
      <c r="L62" s="610"/>
      <c r="M62" s="556"/>
      <c r="N62" s="556"/>
      <c r="O62" s="575"/>
      <c r="P62" s="575"/>
      <c r="Q62" s="362"/>
      <c r="R62" s="609"/>
      <c r="S62" s="610"/>
      <c r="T62" s="386" t="s">
        <v>1053</v>
      </c>
      <c r="U62" s="386"/>
      <c r="V62" s="386"/>
      <c r="W62" s="386"/>
      <c r="X62" s="386"/>
      <c r="Y62" s="386"/>
      <c r="Z62" s="598" t="s">
        <v>1054</v>
      </c>
      <c r="AA62" s="598"/>
      <c r="AB62" s="598"/>
      <c r="AC62" s="598"/>
      <c r="AD62" s="598"/>
      <c r="AE62" s="598"/>
      <c r="AF62" s="599" t="s">
        <v>1055</v>
      </c>
      <c r="AG62" s="599"/>
      <c r="AH62" s="599"/>
      <c r="AI62" s="599"/>
      <c r="AJ62" s="599"/>
      <c r="AK62" s="599"/>
      <c r="AL62" s="387" t="s">
        <v>1056</v>
      </c>
      <c r="AM62" s="387"/>
      <c r="AN62" s="387"/>
      <c r="AO62" s="387"/>
      <c r="AP62" s="387"/>
      <c r="AQ62" s="387"/>
    </row>
    <row r="63" spans="1:46" ht="9" customHeight="1">
      <c r="A63" s="567"/>
      <c r="B63" s="567"/>
      <c r="C63" s="567"/>
      <c r="D63" s="567"/>
      <c r="E63" s="567"/>
      <c r="F63" s="567"/>
      <c r="G63" s="329"/>
      <c r="H63" s="607"/>
      <c r="I63" s="607"/>
      <c r="J63" s="607"/>
      <c r="K63" s="607"/>
      <c r="L63" s="608"/>
      <c r="M63" s="556"/>
      <c r="N63" s="556"/>
      <c r="O63" s="575"/>
      <c r="P63" s="575"/>
      <c r="Q63" s="329"/>
      <c r="R63" s="607"/>
      <c r="S63" s="608"/>
      <c r="T63" s="386"/>
      <c r="U63" s="386"/>
      <c r="V63" s="386"/>
      <c r="W63" s="386"/>
      <c r="X63" s="386"/>
      <c r="Y63" s="386"/>
      <c r="Z63" s="598"/>
      <c r="AA63" s="598"/>
      <c r="AB63" s="598"/>
      <c r="AC63" s="598"/>
      <c r="AD63" s="598"/>
      <c r="AE63" s="598"/>
      <c r="AF63" s="599"/>
      <c r="AG63" s="599"/>
      <c r="AH63" s="599"/>
      <c r="AI63" s="599"/>
      <c r="AJ63" s="599"/>
      <c r="AK63" s="599"/>
      <c r="AL63" s="387"/>
      <c r="AM63" s="387"/>
      <c r="AN63" s="387"/>
      <c r="AO63" s="387"/>
      <c r="AP63" s="387"/>
      <c r="AQ63" s="387"/>
    </row>
    <row r="64" spans="1:46" ht="9" customHeight="1">
      <c r="A64" s="567"/>
      <c r="B64" s="567"/>
      <c r="C64" s="567"/>
      <c r="D64" s="567"/>
      <c r="E64" s="567"/>
      <c r="F64" s="567"/>
      <c r="G64" s="362"/>
      <c r="H64" s="609"/>
      <c r="I64" s="609"/>
      <c r="J64" s="609"/>
      <c r="K64" s="609"/>
      <c r="L64" s="610"/>
      <c r="M64" s="556"/>
      <c r="N64" s="556"/>
      <c r="O64" s="575"/>
      <c r="P64" s="575"/>
      <c r="Q64" s="362"/>
      <c r="R64" s="609"/>
      <c r="S64" s="610"/>
      <c r="T64" s="386" t="s">
        <v>1057</v>
      </c>
      <c r="U64" s="386"/>
      <c r="V64" s="386"/>
      <c r="W64" s="386"/>
      <c r="X64" s="386"/>
      <c r="Y64" s="386"/>
      <c r="Z64" s="387" t="s">
        <v>959</v>
      </c>
      <c r="AA64" s="387"/>
      <c r="AB64" s="387"/>
      <c r="AC64" s="387"/>
      <c r="AD64" s="387"/>
      <c r="AE64" s="387"/>
      <c r="AF64" s="599"/>
      <c r="AG64" s="599"/>
      <c r="AH64" s="599"/>
      <c r="AI64" s="599"/>
      <c r="AJ64" s="599"/>
      <c r="AK64" s="599"/>
      <c r="AL64" s="387"/>
      <c r="AM64" s="387"/>
      <c r="AN64" s="387"/>
      <c r="AO64" s="387"/>
      <c r="AP64" s="387"/>
      <c r="AQ64" s="387"/>
    </row>
    <row r="65" spans="1:43" ht="9" customHeight="1">
      <c r="A65" s="567"/>
      <c r="B65" s="567"/>
      <c r="C65" s="567"/>
      <c r="D65" s="567"/>
      <c r="E65" s="567"/>
      <c r="F65" s="567"/>
      <c r="G65" s="329"/>
      <c r="H65" s="607"/>
      <c r="I65" s="607"/>
      <c r="J65" s="607"/>
      <c r="K65" s="607"/>
      <c r="L65" s="608"/>
      <c r="M65" s="556"/>
      <c r="N65" s="556"/>
      <c r="O65" s="575"/>
      <c r="P65" s="575"/>
      <c r="Q65" s="329"/>
      <c r="R65" s="607"/>
      <c r="S65" s="608"/>
      <c r="T65" s="386"/>
      <c r="U65" s="386"/>
      <c r="V65" s="386"/>
      <c r="W65" s="386"/>
      <c r="X65" s="386"/>
      <c r="Y65" s="386"/>
      <c r="Z65" s="387"/>
      <c r="AA65" s="387"/>
      <c r="AB65" s="387"/>
      <c r="AC65" s="387"/>
      <c r="AD65" s="387"/>
      <c r="AE65" s="387"/>
      <c r="AF65" s="599"/>
      <c r="AG65" s="599"/>
      <c r="AH65" s="599"/>
      <c r="AI65" s="599"/>
      <c r="AJ65" s="599"/>
      <c r="AK65" s="599"/>
      <c r="AL65" s="387"/>
      <c r="AM65" s="387"/>
      <c r="AN65" s="387"/>
      <c r="AO65" s="387"/>
      <c r="AP65" s="387"/>
      <c r="AQ65" s="387"/>
    </row>
    <row r="66" spans="1:43" ht="9" customHeight="1">
      <c r="A66" s="567"/>
      <c r="B66" s="567"/>
      <c r="C66" s="567"/>
      <c r="D66" s="567"/>
      <c r="E66" s="567"/>
      <c r="F66" s="567"/>
      <c r="G66" s="362"/>
      <c r="H66" s="609"/>
      <c r="I66" s="609"/>
      <c r="J66" s="609"/>
      <c r="K66" s="609"/>
      <c r="L66" s="610"/>
      <c r="M66" s="556"/>
      <c r="N66" s="556"/>
      <c r="O66" s="575"/>
      <c r="P66" s="575"/>
      <c r="Q66" s="362"/>
      <c r="R66" s="609"/>
      <c r="S66" s="610"/>
      <c r="T66" s="386" t="s">
        <v>1058</v>
      </c>
      <c r="U66" s="386"/>
      <c r="V66" s="386"/>
      <c r="W66" s="386"/>
      <c r="X66" s="386"/>
      <c r="Y66" s="386"/>
      <c r="Z66" s="387" t="s">
        <v>1059</v>
      </c>
      <c r="AA66" s="387"/>
      <c r="AB66" s="387"/>
      <c r="AC66" s="387"/>
      <c r="AD66" s="387"/>
      <c r="AE66" s="387"/>
      <c r="AF66" s="599"/>
      <c r="AG66" s="599"/>
      <c r="AH66" s="599"/>
      <c r="AI66" s="599"/>
      <c r="AJ66" s="599"/>
      <c r="AK66" s="599"/>
      <c r="AL66" s="387"/>
      <c r="AM66" s="387"/>
      <c r="AN66" s="387"/>
      <c r="AO66" s="387"/>
      <c r="AP66" s="387"/>
      <c r="AQ66" s="387"/>
    </row>
    <row r="67" spans="1:43" ht="9" customHeight="1">
      <c r="A67" s="567"/>
      <c r="B67" s="567"/>
      <c r="C67" s="567"/>
      <c r="D67" s="567"/>
      <c r="E67" s="567"/>
      <c r="F67" s="567"/>
      <c r="G67" s="329"/>
      <c r="H67" s="607"/>
      <c r="I67" s="607"/>
      <c r="J67" s="607"/>
      <c r="K67" s="607"/>
      <c r="L67" s="608"/>
      <c r="M67" s="556"/>
      <c r="N67" s="556"/>
      <c r="O67" s="575"/>
      <c r="P67" s="575"/>
      <c r="Q67" s="329"/>
      <c r="R67" s="607"/>
      <c r="S67" s="608"/>
      <c r="T67" s="386"/>
      <c r="U67" s="386"/>
      <c r="V67" s="386"/>
      <c r="W67" s="386"/>
      <c r="X67" s="386"/>
      <c r="Y67" s="386"/>
      <c r="Z67" s="387"/>
      <c r="AA67" s="387"/>
      <c r="AB67" s="387"/>
      <c r="AC67" s="387"/>
      <c r="AD67" s="387"/>
      <c r="AE67" s="387"/>
      <c r="AF67" s="599"/>
      <c r="AG67" s="599"/>
      <c r="AH67" s="599"/>
      <c r="AI67" s="599"/>
      <c r="AJ67" s="599"/>
      <c r="AK67" s="599"/>
      <c r="AL67" s="387"/>
      <c r="AM67" s="387"/>
      <c r="AN67" s="387"/>
      <c r="AO67" s="387"/>
      <c r="AP67" s="387"/>
      <c r="AQ67" s="387"/>
    </row>
    <row r="68" spans="1:43" ht="9" customHeight="1">
      <c r="A68" s="567"/>
      <c r="B68" s="567"/>
      <c r="C68" s="567"/>
      <c r="D68" s="567"/>
      <c r="E68" s="567"/>
      <c r="F68" s="567"/>
      <c r="G68" s="362"/>
      <c r="H68" s="609"/>
      <c r="I68" s="609"/>
      <c r="J68" s="609"/>
      <c r="K68" s="609"/>
      <c r="L68" s="610"/>
      <c r="M68" s="556"/>
      <c r="N68" s="556"/>
      <c r="O68" s="575"/>
      <c r="P68" s="575"/>
      <c r="Q68" s="362"/>
      <c r="R68" s="609"/>
      <c r="S68" s="610"/>
      <c r="T68" s="386" t="s">
        <v>1060</v>
      </c>
      <c r="U68" s="386"/>
      <c r="V68" s="386"/>
      <c r="W68" s="386"/>
      <c r="X68" s="386"/>
      <c r="Y68" s="386"/>
      <c r="Z68" s="387" t="s">
        <v>1061</v>
      </c>
      <c r="AA68" s="387"/>
      <c r="AB68" s="387"/>
      <c r="AC68" s="387"/>
      <c r="AD68" s="387"/>
      <c r="AE68" s="387"/>
      <c r="AF68" s="599"/>
      <c r="AG68" s="599"/>
      <c r="AH68" s="599"/>
      <c r="AI68" s="599"/>
      <c r="AJ68" s="599"/>
      <c r="AK68" s="599"/>
      <c r="AL68" s="387"/>
      <c r="AM68" s="387"/>
      <c r="AN68" s="387"/>
      <c r="AO68" s="387"/>
      <c r="AP68" s="387"/>
      <c r="AQ68" s="387"/>
    </row>
    <row r="69" spans="1:43" ht="9" customHeight="1">
      <c r="A69" s="567"/>
      <c r="B69" s="567"/>
      <c r="C69" s="567"/>
      <c r="D69" s="567"/>
      <c r="E69" s="567"/>
      <c r="F69" s="567"/>
      <c r="G69" s="329"/>
      <c r="H69" s="607"/>
      <c r="I69" s="607"/>
      <c r="J69" s="607"/>
      <c r="K69" s="607"/>
      <c r="L69" s="608"/>
      <c r="M69" s="556"/>
      <c r="N69" s="556"/>
      <c r="O69" s="567"/>
      <c r="P69" s="567"/>
      <c r="Q69" s="329"/>
      <c r="R69" s="607"/>
      <c r="S69" s="608"/>
      <c r="T69" s="386"/>
      <c r="U69" s="386"/>
      <c r="V69" s="386"/>
      <c r="W69" s="386"/>
      <c r="X69" s="386"/>
      <c r="Y69" s="386"/>
      <c r="Z69" s="387"/>
      <c r="AA69" s="387"/>
      <c r="AB69" s="387"/>
      <c r="AC69" s="387"/>
      <c r="AD69" s="387"/>
      <c r="AE69" s="387"/>
      <c r="AF69" s="599"/>
      <c r="AG69" s="599"/>
      <c r="AH69" s="599"/>
      <c r="AI69" s="599"/>
      <c r="AJ69" s="599"/>
      <c r="AK69" s="599"/>
      <c r="AL69" s="387"/>
      <c r="AM69" s="387"/>
      <c r="AN69" s="387"/>
      <c r="AO69" s="387"/>
      <c r="AP69" s="387"/>
      <c r="AQ69" s="387"/>
    </row>
    <row r="70" spans="1:43" ht="9" customHeight="1">
      <c r="A70" s="567"/>
      <c r="B70" s="567"/>
      <c r="C70" s="567"/>
      <c r="D70" s="567"/>
      <c r="E70" s="567"/>
      <c r="F70" s="567"/>
      <c r="G70" s="362"/>
      <c r="H70" s="609"/>
      <c r="I70" s="609"/>
      <c r="J70" s="609"/>
      <c r="K70" s="609"/>
      <c r="L70" s="610"/>
      <c r="M70" s="556"/>
      <c r="N70" s="556"/>
      <c r="O70" s="567"/>
      <c r="P70" s="567"/>
      <c r="Q70" s="362"/>
      <c r="R70" s="609"/>
      <c r="S70" s="610"/>
      <c r="T70" s="386" t="s">
        <v>1062</v>
      </c>
      <c r="U70" s="386"/>
      <c r="V70" s="386"/>
      <c r="W70" s="386"/>
      <c r="X70" s="386"/>
      <c r="Y70" s="386"/>
      <c r="Z70" s="598" t="s">
        <v>1063</v>
      </c>
      <c r="AA70" s="598"/>
      <c r="AB70" s="598"/>
      <c r="AC70" s="598"/>
      <c r="AD70" s="598"/>
      <c r="AE70" s="598"/>
      <c r="AF70" s="599"/>
      <c r="AG70" s="599"/>
      <c r="AH70" s="599"/>
      <c r="AI70" s="599"/>
      <c r="AJ70" s="599"/>
      <c r="AK70" s="599"/>
      <c r="AL70" s="387"/>
      <c r="AM70" s="387"/>
      <c r="AN70" s="387"/>
      <c r="AO70" s="387"/>
      <c r="AP70" s="387"/>
      <c r="AQ70" s="387"/>
    </row>
    <row r="71" spans="1:43" ht="9" customHeight="1">
      <c r="A71" s="567"/>
      <c r="B71" s="567"/>
      <c r="C71" s="567"/>
      <c r="D71" s="567"/>
      <c r="E71" s="567"/>
      <c r="F71" s="567"/>
      <c r="G71" s="329"/>
      <c r="H71" s="607"/>
      <c r="I71" s="607"/>
      <c r="J71" s="607"/>
      <c r="K71" s="607"/>
      <c r="L71" s="608"/>
      <c r="M71" s="556"/>
      <c r="N71" s="556"/>
      <c r="O71" s="556" t="s">
        <v>1064</v>
      </c>
      <c r="P71" s="556"/>
      <c r="Q71" s="329"/>
      <c r="R71" s="607"/>
      <c r="S71" s="608"/>
      <c r="T71" s="386"/>
      <c r="U71" s="386"/>
      <c r="V71" s="386"/>
      <c r="W71" s="386"/>
      <c r="X71" s="386"/>
      <c r="Y71" s="386"/>
      <c r="Z71" s="598"/>
      <c r="AA71" s="598"/>
      <c r="AB71" s="598"/>
      <c r="AC71" s="598"/>
      <c r="AD71" s="598"/>
      <c r="AE71" s="598"/>
      <c r="AF71" s="599"/>
      <c r="AG71" s="599"/>
      <c r="AH71" s="599"/>
      <c r="AI71" s="599"/>
      <c r="AJ71" s="599"/>
      <c r="AK71" s="599"/>
      <c r="AL71" s="387"/>
      <c r="AM71" s="387"/>
      <c r="AN71" s="387"/>
      <c r="AO71" s="387"/>
      <c r="AP71" s="387"/>
      <c r="AQ71" s="387"/>
    </row>
    <row r="72" spans="1:43" ht="9" customHeight="1">
      <c r="A72" s="567"/>
      <c r="B72" s="567"/>
      <c r="C72" s="567"/>
      <c r="D72" s="567"/>
      <c r="E72" s="567"/>
      <c r="F72" s="567"/>
      <c r="G72" s="362"/>
      <c r="H72" s="609"/>
      <c r="I72" s="609"/>
      <c r="J72" s="609"/>
      <c r="K72" s="609"/>
      <c r="L72" s="610"/>
      <c r="M72" s="556"/>
      <c r="N72" s="556"/>
      <c r="O72" s="556"/>
      <c r="P72" s="556"/>
      <c r="Q72" s="362"/>
      <c r="R72" s="609"/>
      <c r="S72" s="610"/>
      <c r="T72" s="386"/>
      <c r="U72" s="386"/>
      <c r="V72" s="386"/>
      <c r="W72" s="386"/>
      <c r="X72" s="386"/>
      <c r="Y72" s="386"/>
      <c r="Z72" s="598"/>
      <c r="AA72" s="598"/>
      <c r="AB72" s="598"/>
      <c r="AC72" s="598"/>
      <c r="AD72" s="598"/>
      <c r="AE72" s="598"/>
      <c r="AF72" s="599"/>
      <c r="AG72" s="599"/>
      <c r="AH72" s="599"/>
      <c r="AI72" s="599"/>
      <c r="AJ72" s="599"/>
      <c r="AK72" s="599"/>
      <c r="AL72" s="387"/>
      <c r="AM72" s="387"/>
      <c r="AN72" s="387"/>
      <c r="AO72" s="387"/>
      <c r="AP72" s="387"/>
      <c r="AQ72" s="387"/>
    </row>
    <row r="73" spans="1:43" ht="9" customHeight="1">
      <c r="A73" s="574" t="s">
        <v>1065</v>
      </c>
      <c r="B73" s="574"/>
      <c r="C73" s="574"/>
      <c r="D73" s="574"/>
      <c r="E73" s="574"/>
      <c r="F73" s="180"/>
      <c r="G73" s="180"/>
      <c r="H73" s="180"/>
      <c r="I73" s="180"/>
      <c r="J73" s="556" t="s">
        <v>466</v>
      </c>
      <c r="K73" s="556"/>
      <c r="L73" s="556"/>
      <c r="M73" s="556" t="s">
        <v>1066</v>
      </c>
      <c r="N73" s="556"/>
      <c r="O73" s="556"/>
      <c r="P73" s="180"/>
      <c r="Q73" s="180"/>
      <c r="R73" s="180"/>
      <c r="S73" s="180"/>
      <c r="T73" s="386"/>
      <c r="U73" s="386"/>
      <c r="V73" s="386"/>
      <c r="W73" s="386"/>
      <c r="X73" s="386"/>
      <c r="Y73" s="386"/>
      <c r="Z73" s="598"/>
      <c r="AA73" s="598"/>
      <c r="AB73" s="598"/>
      <c r="AC73" s="598"/>
      <c r="AD73" s="598"/>
      <c r="AE73" s="598"/>
      <c r="AF73" s="599"/>
      <c r="AG73" s="599"/>
      <c r="AH73" s="599"/>
      <c r="AI73" s="599"/>
      <c r="AJ73" s="599"/>
      <c r="AK73" s="599"/>
      <c r="AL73" s="387"/>
      <c r="AM73" s="387"/>
      <c r="AN73" s="387"/>
      <c r="AO73" s="387"/>
      <c r="AP73" s="387"/>
      <c r="AQ73" s="387"/>
    </row>
    <row r="74" spans="1:43" ht="9" customHeight="1">
      <c r="A74" s="574"/>
      <c r="B74" s="574"/>
      <c r="C74" s="574"/>
      <c r="D74" s="574"/>
      <c r="E74" s="574"/>
      <c r="F74" s="180"/>
      <c r="G74" s="180"/>
      <c r="H74" s="180"/>
      <c r="I74" s="180"/>
      <c r="J74" s="556"/>
      <c r="K74" s="556"/>
      <c r="L74" s="556"/>
      <c r="M74" s="556"/>
      <c r="N74" s="556"/>
      <c r="O74" s="556"/>
      <c r="P74" s="180"/>
      <c r="Q74" s="180"/>
      <c r="R74" s="180"/>
      <c r="S74" s="180"/>
      <c r="T74" s="370" t="s">
        <v>1067</v>
      </c>
      <c r="U74" s="370"/>
      <c r="V74" s="370"/>
      <c r="W74" s="370"/>
      <c r="X74" s="370"/>
      <c r="Y74" s="370"/>
      <c r="Z74" s="598" t="s">
        <v>1068</v>
      </c>
      <c r="AA74" s="598"/>
      <c r="AB74" s="598"/>
      <c r="AC74" s="598"/>
      <c r="AD74" s="598"/>
      <c r="AE74" s="598"/>
      <c r="AF74" s="599"/>
      <c r="AG74" s="599"/>
      <c r="AH74" s="599"/>
      <c r="AI74" s="599"/>
      <c r="AJ74" s="599"/>
      <c r="AK74" s="599"/>
      <c r="AL74" s="387"/>
      <c r="AM74" s="387"/>
      <c r="AN74" s="387"/>
      <c r="AO74" s="387"/>
      <c r="AP74" s="387"/>
      <c r="AQ74" s="387"/>
    </row>
    <row r="75" spans="1:43" ht="9" customHeight="1">
      <c r="A75" s="180"/>
      <c r="B75" s="180"/>
      <c r="C75" s="180"/>
      <c r="D75" s="180"/>
      <c r="E75" s="180"/>
      <c r="F75" s="180"/>
      <c r="G75" s="180"/>
      <c r="H75" s="180"/>
      <c r="I75" s="180"/>
      <c r="J75" s="547" t="s">
        <v>467</v>
      </c>
      <c r="K75" s="548"/>
      <c r="L75" s="549"/>
      <c r="M75" s="556"/>
      <c r="N75" s="556"/>
      <c r="O75" s="556"/>
      <c r="P75" s="180"/>
      <c r="Q75" s="180"/>
      <c r="R75" s="180"/>
      <c r="S75" s="180"/>
      <c r="T75" s="370"/>
      <c r="U75" s="370"/>
      <c r="V75" s="370"/>
      <c r="W75" s="370"/>
      <c r="X75" s="370"/>
      <c r="Y75" s="370"/>
      <c r="Z75" s="598"/>
      <c r="AA75" s="598"/>
      <c r="AB75" s="598"/>
      <c r="AC75" s="598"/>
      <c r="AD75" s="598"/>
      <c r="AE75" s="598"/>
      <c r="AF75" s="599"/>
      <c r="AG75" s="599"/>
      <c r="AH75" s="599"/>
      <c r="AI75" s="599"/>
      <c r="AJ75" s="599"/>
      <c r="AK75" s="599"/>
      <c r="AL75" s="387"/>
      <c r="AM75" s="387"/>
      <c r="AN75" s="387"/>
      <c r="AO75" s="387"/>
      <c r="AP75" s="387"/>
      <c r="AQ75" s="387"/>
    </row>
    <row r="76" spans="1:43" ht="9" customHeight="1">
      <c r="A76" s="180"/>
      <c r="B76" s="180"/>
      <c r="C76" s="180"/>
      <c r="D76" s="180"/>
      <c r="E76" s="180"/>
      <c r="F76" s="180"/>
      <c r="G76" s="180"/>
      <c r="H76" s="180"/>
      <c r="I76" s="180"/>
      <c r="J76" s="550"/>
      <c r="K76" s="551"/>
      <c r="L76" s="552"/>
      <c r="M76" s="556"/>
      <c r="N76" s="556"/>
      <c r="O76" s="556"/>
      <c r="P76" s="180"/>
      <c r="Q76" s="180"/>
      <c r="R76" s="180"/>
      <c r="S76" s="180"/>
      <c r="T76" s="386" t="s">
        <v>1069</v>
      </c>
      <c r="U76" s="386"/>
      <c r="V76" s="386"/>
      <c r="W76" s="386"/>
      <c r="X76" s="386"/>
      <c r="Y76" s="386"/>
      <c r="Z76" s="598" t="s">
        <v>1070</v>
      </c>
      <c r="AA76" s="598"/>
      <c r="AB76" s="598"/>
      <c r="AC76" s="598"/>
      <c r="AD76" s="598"/>
      <c r="AE76" s="598"/>
      <c r="AF76" s="599"/>
      <c r="AG76" s="599"/>
      <c r="AH76" s="599"/>
      <c r="AI76" s="599"/>
      <c r="AJ76" s="599"/>
      <c r="AK76" s="599"/>
      <c r="AL76" s="387"/>
      <c r="AM76" s="387"/>
      <c r="AN76" s="387"/>
      <c r="AO76" s="387"/>
      <c r="AP76" s="387"/>
      <c r="AQ76" s="387"/>
    </row>
    <row r="77" spans="1:43" ht="9" customHeight="1">
      <c r="A77" s="180"/>
      <c r="B77" s="180"/>
      <c r="C77" s="180"/>
      <c r="D77" s="180"/>
      <c r="E77" s="180"/>
      <c r="F77" s="180"/>
      <c r="G77" s="180"/>
      <c r="H77" s="180"/>
      <c r="I77" s="180"/>
      <c r="J77" s="550"/>
      <c r="K77" s="551"/>
      <c r="L77" s="552"/>
      <c r="M77" s="556"/>
      <c r="N77" s="556"/>
      <c r="O77" s="556"/>
      <c r="P77" s="180"/>
      <c r="Q77" s="180"/>
      <c r="R77" s="180"/>
      <c r="S77" s="180"/>
      <c r="T77" s="386"/>
      <c r="U77" s="386"/>
      <c r="V77" s="386"/>
      <c r="W77" s="386"/>
      <c r="X77" s="386"/>
      <c r="Y77" s="386"/>
      <c r="Z77" s="598"/>
      <c r="AA77" s="598"/>
      <c r="AB77" s="598"/>
      <c r="AC77" s="598"/>
      <c r="AD77" s="598"/>
      <c r="AE77" s="598"/>
      <c r="AF77" s="599"/>
      <c r="AG77" s="599"/>
      <c r="AH77" s="599"/>
      <c r="AI77" s="599"/>
      <c r="AJ77" s="599"/>
      <c r="AK77" s="599"/>
      <c r="AL77" s="387"/>
      <c r="AM77" s="387"/>
      <c r="AN77" s="387"/>
      <c r="AO77" s="387"/>
      <c r="AP77" s="387"/>
      <c r="AQ77" s="387"/>
    </row>
    <row r="78" spans="1:43" ht="9" customHeight="1">
      <c r="A78" s="180"/>
      <c r="B78" s="180"/>
      <c r="C78" s="180"/>
      <c r="D78" s="180"/>
      <c r="E78" s="180"/>
      <c r="F78" s="180"/>
      <c r="G78" s="180"/>
      <c r="H78" s="180"/>
      <c r="I78" s="180"/>
      <c r="J78" s="550"/>
      <c r="K78" s="551"/>
      <c r="L78" s="552"/>
      <c r="M78" s="556"/>
      <c r="N78" s="556"/>
      <c r="O78" s="556"/>
      <c r="P78" s="180"/>
      <c r="Q78" s="180"/>
      <c r="R78" s="180"/>
      <c r="S78" s="180"/>
      <c r="T78" s="386" t="s">
        <v>1071</v>
      </c>
      <c r="U78" s="386"/>
      <c r="V78" s="386"/>
      <c r="W78" s="386"/>
      <c r="X78" s="386"/>
      <c r="Y78" s="386"/>
      <c r="Z78" s="598" t="s">
        <v>1072</v>
      </c>
      <c r="AA78" s="598"/>
      <c r="AB78" s="598"/>
      <c r="AC78" s="598"/>
      <c r="AD78" s="598"/>
      <c r="AE78" s="598"/>
      <c r="AF78" s="599" t="s">
        <v>1073</v>
      </c>
      <c r="AG78" s="599"/>
      <c r="AH78" s="599"/>
      <c r="AI78" s="599"/>
      <c r="AJ78" s="599"/>
      <c r="AK78" s="599"/>
      <c r="AL78" s="387" t="s">
        <v>1074</v>
      </c>
      <c r="AM78" s="387"/>
      <c r="AN78" s="387"/>
      <c r="AO78" s="387"/>
      <c r="AP78" s="387"/>
      <c r="AQ78" s="387"/>
    </row>
    <row r="79" spans="1:43" ht="9" customHeight="1">
      <c r="A79" s="180"/>
      <c r="B79" s="180"/>
      <c r="C79" s="180"/>
      <c r="D79" s="180"/>
      <c r="E79" s="180"/>
      <c r="F79" s="180"/>
      <c r="G79" s="180"/>
      <c r="H79" s="180"/>
      <c r="I79" s="180"/>
      <c r="J79" s="550"/>
      <c r="K79" s="551"/>
      <c r="L79" s="552"/>
      <c r="M79" s="556"/>
      <c r="N79" s="556"/>
      <c r="O79" s="556"/>
      <c r="P79" s="180"/>
      <c r="Q79" s="180"/>
      <c r="R79" s="180"/>
      <c r="S79" s="180"/>
      <c r="T79" s="386"/>
      <c r="U79" s="386"/>
      <c r="V79" s="386"/>
      <c r="W79" s="386"/>
      <c r="X79" s="386"/>
      <c r="Y79" s="386"/>
      <c r="Z79" s="598"/>
      <c r="AA79" s="598"/>
      <c r="AB79" s="598"/>
      <c r="AC79" s="598"/>
      <c r="AD79" s="598"/>
      <c r="AE79" s="598"/>
      <c r="AF79" s="599"/>
      <c r="AG79" s="599"/>
      <c r="AH79" s="599"/>
      <c r="AI79" s="599"/>
      <c r="AJ79" s="599"/>
      <c r="AK79" s="599"/>
      <c r="AL79" s="387"/>
      <c r="AM79" s="387"/>
      <c r="AN79" s="387"/>
      <c r="AO79" s="387"/>
      <c r="AP79" s="387"/>
      <c r="AQ79" s="387"/>
    </row>
    <row r="80" spans="1:43" ht="9" customHeight="1">
      <c r="A80" s="180"/>
      <c r="B80" s="180"/>
      <c r="C80" s="180"/>
      <c r="D80" s="180"/>
      <c r="E80" s="180"/>
      <c r="F80" s="180"/>
      <c r="G80" s="180"/>
      <c r="H80" s="180"/>
      <c r="I80" s="180"/>
      <c r="J80" s="553"/>
      <c r="K80" s="554"/>
      <c r="L80" s="555"/>
      <c r="M80" s="556"/>
      <c r="N80" s="556"/>
      <c r="O80" s="556"/>
      <c r="P80" s="180"/>
      <c r="Q80" s="180"/>
      <c r="R80" s="180"/>
      <c r="S80" s="180"/>
      <c r="T80" s="386" t="s">
        <v>1075</v>
      </c>
      <c r="U80" s="386"/>
      <c r="V80" s="386"/>
      <c r="W80" s="386"/>
      <c r="X80" s="386"/>
      <c r="Y80" s="386"/>
      <c r="Z80" s="598" t="s">
        <v>1076</v>
      </c>
      <c r="AA80" s="598"/>
      <c r="AB80" s="598"/>
      <c r="AC80" s="598"/>
      <c r="AD80" s="598"/>
      <c r="AE80" s="598"/>
      <c r="AF80" s="599" t="s">
        <v>1077</v>
      </c>
      <c r="AG80" s="599"/>
      <c r="AH80" s="599"/>
      <c r="AI80" s="599"/>
      <c r="AJ80" s="599"/>
      <c r="AK80" s="599"/>
      <c r="AL80" s="387" t="s">
        <v>1078</v>
      </c>
      <c r="AM80" s="387"/>
      <c r="AN80" s="387"/>
      <c r="AO80" s="387"/>
      <c r="AP80" s="387"/>
      <c r="AQ80" s="387"/>
    </row>
    <row r="81" spans="1:43" ht="9" customHeight="1">
      <c r="A81" s="557" t="s">
        <v>453</v>
      </c>
      <c r="B81" s="558"/>
      <c r="C81" s="559"/>
      <c r="D81" s="180"/>
      <c r="E81" s="180"/>
      <c r="F81" s="180"/>
      <c r="G81" s="180"/>
      <c r="H81" s="180"/>
      <c r="I81" s="180"/>
      <c r="J81" s="180"/>
      <c r="K81" s="180"/>
      <c r="L81" s="180"/>
      <c r="M81" s="180"/>
      <c r="N81" s="180"/>
      <c r="O81" s="180"/>
      <c r="P81" s="180"/>
      <c r="Q81" s="180"/>
      <c r="R81" s="180"/>
      <c r="S81" s="180"/>
      <c r="T81" s="386"/>
      <c r="U81" s="386"/>
      <c r="V81" s="386"/>
      <c r="W81" s="386"/>
      <c r="X81" s="386"/>
      <c r="Y81" s="386"/>
      <c r="Z81" s="598"/>
      <c r="AA81" s="598"/>
      <c r="AB81" s="598"/>
      <c r="AC81" s="598"/>
      <c r="AD81" s="598"/>
      <c r="AE81" s="598"/>
      <c r="AF81" s="599"/>
      <c r="AG81" s="599"/>
      <c r="AH81" s="599"/>
      <c r="AI81" s="599"/>
      <c r="AJ81" s="599"/>
      <c r="AK81" s="599"/>
      <c r="AL81" s="387"/>
      <c r="AM81" s="387"/>
      <c r="AN81" s="387"/>
      <c r="AO81" s="387"/>
      <c r="AP81" s="387"/>
      <c r="AQ81" s="387"/>
    </row>
    <row r="82" spans="1:43" ht="9" customHeight="1">
      <c r="A82" s="560"/>
      <c r="B82" s="556"/>
      <c r="C82" s="561"/>
      <c r="D82" s="180"/>
      <c r="E82" s="180"/>
      <c r="F82" s="180"/>
      <c r="G82" s="180"/>
      <c r="H82" s="180"/>
      <c r="I82" s="180"/>
      <c r="J82" s="180"/>
      <c r="K82" s="180"/>
      <c r="L82" s="180"/>
      <c r="M82" s="180"/>
      <c r="N82" s="180"/>
      <c r="O82" s="180"/>
      <c r="P82" s="180"/>
      <c r="Q82" s="180"/>
      <c r="R82" s="180"/>
      <c r="S82" s="180"/>
      <c r="T82" s="386" t="s">
        <v>800</v>
      </c>
      <c r="U82" s="386"/>
      <c r="V82" s="386"/>
      <c r="W82" s="386"/>
      <c r="X82" s="386"/>
      <c r="Y82" s="386"/>
      <c r="Z82" s="598" t="s">
        <v>1079</v>
      </c>
      <c r="AA82" s="598"/>
      <c r="AB82" s="598"/>
      <c r="AC82" s="598"/>
      <c r="AD82" s="598"/>
      <c r="AE82" s="598"/>
      <c r="AF82" s="599" t="s">
        <v>1080</v>
      </c>
      <c r="AG82" s="599"/>
      <c r="AH82" s="599"/>
      <c r="AI82" s="599"/>
      <c r="AJ82" s="599"/>
      <c r="AK82" s="599"/>
      <c r="AL82" s="387" t="s">
        <v>1081</v>
      </c>
      <c r="AM82" s="387"/>
      <c r="AN82" s="387"/>
      <c r="AO82" s="387"/>
      <c r="AP82" s="387"/>
      <c r="AQ82" s="387"/>
    </row>
    <row r="83" spans="1:43" ht="9" customHeight="1">
      <c r="A83" s="602" t="s">
        <v>1082</v>
      </c>
      <c r="B83" s="603"/>
      <c r="C83" s="603"/>
      <c r="D83" s="604"/>
      <c r="E83" s="604"/>
      <c r="F83" s="604"/>
      <c r="G83" s="604"/>
      <c r="H83" s="604"/>
      <c r="I83" s="604"/>
      <c r="J83" s="604"/>
      <c r="K83" s="604"/>
      <c r="L83" s="604"/>
      <c r="M83" s="604"/>
      <c r="N83" s="604"/>
      <c r="O83" s="604"/>
      <c r="P83" s="604"/>
      <c r="Q83" s="604"/>
      <c r="R83" s="604"/>
      <c r="S83" s="605"/>
      <c r="T83" s="386"/>
      <c r="U83" s="386"/>
      <c r="V83" s="386"/>
      <c r="W83" s="386"/>
      <c r="X83" s="386"/>
      <c r="Y83" s="386"/>
      <c r="Z83" s="598"/>
      <c r="AA83" s="598"/>
      <c r="AB83" s="598"/>
      <c r="AC83" s="598"/>
      <c r="AD83" s="598"/>
      <c r="AE83" s="598"/>
      <c r="AF83" s="599"/>
      <c r="AG83" s="599"/>
      <c r="AH83" s="599"/>
      <c r="AI83" s="599"/>
      <c r="AJ83" s="599"/>
      <c r="AK83" s="599"/>
      <c r="AL83" s="387"/>
      <c r="AM83" s="387"/>
      <c r="AN83" s="387"/>
      <c r="AO83" s="387"/>
      <c r="AP83" s="387"/>
      <c r="AQ83" s="387"/>
    </row>
    <row r="84" spans="1:43" ht="9" customHeight="1">
      <c r="A84" s="602"/>
      <c r="B84" s="603"/>
      <c r="C84" s="603"/>
      <c r="D84" s="603"/>
      <c r="E84" s="603"/>
      <c r="F84" s="603"/>
      <c r="G84" s="603"/>
      <c r="H84" s="603"/>
      <c r="I84" s="603"/>
      <c r="J84" s="603"/>
      <c r="K84" s="603"/>
      <c r="L84" s="603"/>
      <c r="M84" s="603"/>
      <c r="N84" s="603"/>
      <c r="O84" s="603"/>
      <c r="P84" s="603"/>
      <c r="Q84" s="603"/>
      <c r="R84" s="603"/>
      <c r="S84" s="606"/>
      <c r="T84" s="386" t="s">
        <v>1083</v>
      </c>
      <c r="U84" s="386"/>
      <c r="V84" s="386"/>
      <c r="W84" s="386"/>
      <c r="X84" s="386"/>
      <c r="Y84" s="386"/>
      <c r="Z84" s="598" t="s">
        <v>1084</v>
      </c>
      <c r="AA84" s="598"/>
      <c r="AB84" s="598"/>
      <c r="AC84" s="598"/>
      <c r="AD84" s="598"/>
      <c r="AE84" s="598"/>
      <c r="AF84" s="599" t="s">
        <v>1085</v>
      </c>
      <c r="AG84" s="599"/>
      <c r="AH84" s="599"/>
      <c r="AI84" s="599"/>
      <c r="AJ84" s="599"/>
      <c r="AK84" s="599"/>
      <c r="AL84" s="387" t="s">
        <v>1086</v>
      </c>
      <c r="AM84" s="387"/>
      <c r="AN84" s="387"/>
      <c r="AO84" s="387"/>
      <c r="AP84" s="387"/>
      <c r="AQ84" s="387"/>
    </row>
    <row r="85" spans="1:43" ht="9" customHeight="1">
      <c r="A85" s="562" t="s">
        <v>1087</v>
      </c>
      <c r="B85" s="563"/>
      <c r="C85" s="563"/>
      <c r="D85" s="564"/>
      <c r="E85" s="564"/>
      <c r="F85" s="564"/>
      <c r="G85" s="564"/>
      <c r="H85" s="564"/>
      <c r="I85" s="564"/>
      <c r="J85" s="564"/>
      <c r="K85" s="564"/>
      <c r="L85" s="564"/>
      <c r="M85" s="564"/>
      <c r="N85" s="564"/>
      <c r="O85" s="564"/>
      <c r="P85" s="564"/>
      <c r="Q85" s="564"/>
      <c r="R85" s="564"/>
      <c r="S85" s="565"/>
      <c r="T85" s="386"/>
      <c r="U85" s="386"/>
      <c r="V85" s="386"/>
      <c r="W85" s="386"/>
      <c r="X85" s="386"/>
      <c r="Y85" s="386"/>
      <c r="Z85" s="598"/>
      <c r="AA85" s="598"/>
      <c r="AB85" s="598"/>
      <c r="AC85" s="598"/>
      <c r="AD85" s="598"/>
      <c r="AE85" s="598"/>
      <c r="AF85" s="599"/>
      <c r="AG85" s="599"/>
      <c r="AH85" s="599"/>
      <c r="AI85" s="599"/>
      <c r="AJ85" s="599"/>
      <c r="AK85" s="599"/>
      <c r="AL85" s="387"/>
      <c r="AM85" s="387"/>
      <c r="AN85" s="387"/>
      <c r="AO85" s="387"/>
      <c r="AP85" s="387"/>
      <c r="AQ85" s="387"/>
    </row>
    <row r="86" spans="1:43" ht="9" customHeight="1">
      <c r="A86" s="562"/>
      <c r="B86" s="563"/>
      <c r="C86" s="563"/>
      <c r="D86" s="563"/>
      <c r="E86" s="563"/>
      <c r="F86" s="563"/>
      <c r="G86" s="563"/>
      <c r="H86" s="563"/>
      <c r="I86" s="563"/>
      <c r="J86" s="563"/>
      <c r="K86" s="563"/>
      <c r="L86" s="563"/>
      <c r="M86" s="563"/>
      <c r="N86" s="563"/>
      <c r="O86" s="563"/>
      <c r="P86" s="563"/>
      <c r="Q86" s="563"/>
      <c r="R86" s="563"/>
      <c r="S86" s="566"/>
      <c r="T86" s="386" t="s">
        <v>794</v>
      </c>
      <c r="U86" s="386"/>
      <c r="V86" s="386"/>
      <c r="W86" s="386"/>
      <c r="X86" s="386"/>
      <c r="Y86" s="386"/>
      <c r="Z86" s="598" t="s">
        <v>1088</v>
      </c>
      <c r="AA86" s="598"/>
      <c r="AB86" s="598"/>
      <c r="AC86" s="598"/>
      <c r="AD86" s="598"/>
      <c r="AE86" s="598"/>
      <c r="AF86" s="599" t="s">
        <v>1089</v>
      </c>
      <c r="AG86" s="599"/>
      <c r="AH86" s="599"/>
      <c r="AI86" s="599"/>
      <c r="AJ86" s="599"/>
      <c r="AK86" s="599"/>
      <c r="AL86" s="387" t="s">
        <v>1090</v>
      </c>
      <c r="AM86" s="387"/>
      <c r="AN86" s="387"/>
      <c r="AO86" s="387"/>
      <c r="AP86" s="387"/>
      <c r="AQ86" s="387"/>
    </row>
    <row r="87" spans="1:43" ht="9" customHeight="1">
      <c r="A87" s="180"/>
      <c r="B87" s="180"/>
      <c r="C87" s="180"/>
      <c r="D87" s="180"/>
      <c r="E87" s="180"/>
      <c r="F87" s="180"/>
      <c r="G87" s="180"/>
      <c r="H87" s="180"/>
      <c r="I87" s="180"/>
      <c r="J87" s="180"/>
      <c r="K87" s="180"/>
      <c r="L87" s="180"/>
      <c r="M87" s="180"/>
      <c r="N87" s="180"/>
      <c r="O87" s="180"/>
      <c r="P87" s="180"/>
      <c r="Q87" s="180"/>
      <c r="R87" s="180"/>
      <c r="S87" s="180"/>
      <c r="T87" s="386"/>
      <c r="U87" s="386"/>
      <c r="V87" s="386"/>
      <c r="W87" s="386"/>
      <c r="X87" s="386"/>
      <c r="Y87" s="386"/>
      <c r="Z87" s="598"/>
      <c r="AA87" s="598"/>
      <c r="AB87" s="598"/>
      <c r="AC87" s="598"/>
      <c r="AD87" s="598"/>
      <c r="AE87" s="598"/>
      <c r="AF87" s="599"/>
      <c r="AG87" s="599"/>
      <c r="AH87" s="599"/>
      <c r="AI87" s="599"/>
      <c r="AJ87" s="599"/>
      <c r="AK87" s="599"/>
      <c r="AL87" s="387"/>
      <c r="AM87" s="387"/>
      <c r="AN87" s="387"/>
      <c r="AO87" s="387"/>
      <c r="AP87" s="387"/>
      <c r="AQ87" s="387"/>
    </row>
    <row r="88" spans="1:43" ht="9" customHeight="1">
      <c r="T88" s="386" t="s">
        <v>808</v>
      </c>
      <c r="U88" s="386"/>
      <c r="V88" s="386"/>
      <c r="W88" s="386"/>
      <c r="X88" s="386"/>
      <c r="Y88" s="386"/>
      <c r="Z88" s="598" t="s">
        <v>1091</v>
      </c>
      <c r="AA88" s="598"/>
      <c r="AB88" s="598"/>
      <c r="AC88" s="598"/>
      <c r="AD88" s="598"/>
      <c r="AE88" s="598"/>
      <c r="AF88" s="599" t="s">
        <v>1092</v>
      </c>
      <c r="AG88" s="599"/>
      <c r="AH88" s="599"/>
      <c r="AI88" s="599"/>
      <c r="AJ88" s="599"/>
      <c r="AK88" s="599"/>
      <c r="AL88" s="387" t="s">
        <v>1093</v>
      </c>
      <c r="AM88" s="387"/>
      <c r="AN88" s="387"/>
      <c r="AO88" s="387"/>
      <c r="AP88" s="387"/>
      <c r="AQ88" s="387"/>
    </row>
    <row r="89" spans="1:43" ht="9" customHeight="1">
      <c r="T89" s="386"/>
      <c r="U89" s="386"/>
      <c r="V89" s="386"/>
      <c r="W89" s="386"/>
      <c r="X89" s="386"/>
      <c r="Y89" s="386"/>
      <c r="Z89" s="598"/>
      <c r="AA89" s="598"/>
      <c r="AB89" s="598"/>
      <c r="AC89" s="598"/>
      <c r="AD89" s="598"/>
      <c r="AE89" s="598"/>
      <c r="AF89" s="599"/>
      <c r="AG89" s="599"/>
      <c r="AH89" s="599"/>
      <c r="AI89" s="599"/>
      <c r="AJ89" s="599"/>
      <c r="AK89" s="599"/>
      <c r="AL89" s="387"/>
      <c r="AM89" s="387"/>
      <c r="AN89" s="387"/>
      <c r="AO89" s="387"/>
      <c r="AP89" s="387"/>
      <c r="AQ89" s="387"/>
    </row>
    <row r="90" spans="1:43" ht="9" customHeight="1">
      <c r="Z90" s="182"/>
      <c r="AA90" s="182"/>
      <c r="AB90" s="182"/>
      <c r="AC90" s="182"/>
      <c r="AD90" s="182"/>
      <c r="AE90" s="182"/>
    </row>
    <row r="91" spans="1:43" ht="9" customHeight="1"/>
    <row r="92" spans="1:43" ht="9" customHeight="1">
      <c r="A92" s="600" t="s">
        <v>940</v>
      </c>
      <c r="B92" s="600"/>
      <c r="C92" s="600"/>
      <c r="D92" s="600"/>
      <c r="E92" s="600"/>
      <c r="F92" s="600"/>
      <c r="G92" s="600"/>
      <c r="H92" s="600"/>
      <c r="I92" s="600"/>
      <c r="J92" s="600"/>
      <c r="K92" s="600"/>
      <c r="L92" s="600"/>
      <c r="M92" s="600"/>
      <c r="N92" s="600"/>
      <c r="O92" s="600"/>
      <c r="P92" s="600"/>
      <c r="Q92" s="600"/>
      <c r="R92" s="600"/>
      <c r="S92" s="600"/>
    </row>
    <row r="93" spans="1:43" ht="9" customHeight="1">
      <c r="A93" s="600"/>
      <c r="B93" s="600"/>
      <c r="C93" s="600"/>
      <c r="D93" s="600"/>
      <c r="E93" s="600"/>
      <c r="F93" s="600"/>
      <c r="G93" s="600"/>
      <c r="H93" s="600"/>
      <c r="I93" s="600"/>
      <c r="J93" s="600"/>
      <c r="K93" s="600"/>
      <c r="L93" s="600"/>
      <c r="M93" s="600"/>
      <c r="N93" s="600"/>
      <c r="O93" s="600"/>
      <c r="P93" s="600"/>
      <c r="Q93" s="600"/>
      <c r="R93" s="600"/>
      <c r="S93" s="600"/>
    </row>
    <row r="94" spans="1:43" ht="9" customHeight="1">
      <c r="A94" s="601" t="s">
        <v>943</v>
      </c>
      <c r="B94" s="601"/>
      <c r="C94" s="601"/>
      <c r="D94" s="601"/>
      <c r="E94" s="601"/>
      <c r="F94" s="601"/>
      <c r="G94" s="601"/>
      <c r="H94" s="601"/>
      <c r="I94" s="601"/>
      <c r="J94" s="601"/>
      <c r="K94" s="601"/>
      <c r="L94" s="601"/>
      <c r="M94" s="601"/>
      <c r="N94" s="601"/>
      <c r="O94" s="601"/>
      <c r="P94" s="601"/>
      <c r="Q94" s="601"/>
      <c r="R94" s="601"/>
      <c r="S94" s="601"/>
    </row>
    <row r="95" spans="1:43" ht="9" customHeight="1">
      <c r="A95" s="601"/>
      <c r="B95" s="601"/>
      <c r="C95" s="601"/>
      <c r="D95" s="601"/>
      <c r="E95" s="601"/>
      <c r="F95" s="601"/>
      <c r="G95" s="601"/>
      <c r="H95" s="601"/>
      <c r="I95" s="601"/>
      <c r="J95" s="601"/>
      <c r="K95" s="601"/>
      <c r="L95" s="601"/>
      <c r="M95" s="601"/>
      <c r="N95" s="601"/>
      <c r="O95" s="601"/>
      <c r="P95" s="601"/>
      <c r="Q95" s="601"/>
      <c r="R95" s="601"/>
      <c r="S95" s="601"/>
    </row>
    <row r="96" spans="1:43" ht="9" customHeight="1">
      <c r="A96" s="180"/>
      <c r="B96" s="180"/>
      <c r="C96" s="180"/>
      <c r="D96" s="180"/>
      <c r="E96" s="180"/>
      <c r="F96" s="180"/>
      <c r="G96" s="180"/>
      <c r="H96" s="180"/>
      <c r="I96" s="180"/>
      <c r="J96" s="180"/>
      <c r="K96" s="180"/>
      <c r="L96" s="180"/>
      <c r="M96" s="180"/>
      <c r="N96" s="180"/>
      <c r="O96" s="180"/>
      <c r="P96" s="180"/>
      <c r="Q96" s="180"/>
      <c r="R96" s="180"/>
      <c r="S96" s="180"/>
    </row>
    <row r="97" spans="1:19" ht="9" customHeight="1">
      <c r="A97" s="180"/>
      <c r="B97" s="180"/>
      <c r="C97" s="180"/>
      <c r="D97" s="180"/>
      <c r="E97" s="180"/>
      <c r="F97" s="180"/>
      <c r="G97" s="180"/>
      <c r="H97" s="180"/>
      <c r="I97" s="180"/>
      <c r="J97" s="180"/>
      <c r="K97" s="594" t="s">
        <v>951</v>
      </c>
      <c r="L97" s="594"/>
      <c r="M97" s="594"/>
      <c r="N97" s="371" t="s">
        <v>1094</v>
      </c>
      <c r="O97" s="371"/>
      <c r="P97" s="371"/>
      <c r="Q97" s="371"/>
      <c r="R97" s="371"/>
      <c r="S97" s="366"/>
    </row>
    <row r="98" spans="1:19" ht="9" customHeight="1">
      <c r="A98" s="587" t="s">
        <v>952</v>
      </c>
      <c r="B98" s="587"/>
      <c r="C98" s="587"/>
      <c r="D98" s="587"/>
      <c r="E98" s="587"/>
      <c r="F98" s="587"/>
      <c r="G98" s="587"/>
      <c r="H98" s="180"/>
      <c r="I98" s="180"/>
      <c r="J98" s="180"/>
      <c r="K98" s="594"/>
      <c r="L98" s="594"/>
      <c r="M98" s="594"/>
      <c r="N98" s="371"/>
      <c r="O98" s="371"/>
      <c r="P98" s="371"/>
      <c r="Q98" s="371"/>
      <c r="R98" s="371"/>
      <c r="S98" s="366"/>
    </row>
    <row r="99" spans="1:19" ht="9" customHeight="1">
      <c r="A99" s="572"/>
      <c r="B99" s="572"/>
      <c r="C99" s="572"/>
      <c r="D99" s="572"/>
      <c r="E99" s="572"/>
      <c r="F99" s="572"/>
      <c r="G99" s="572"/>
      <c r="H99" s="595"/>
      <c r="I99" s="595"/>
      <c r="J99" s="180"/>
      <c r="K99" s="180"/>
      <c r="L99" s="180"/>
      <c r="M99" s="180"/>
      <c r="N99" s="180"/>
      <c r="P99" s="180"/>
      <c r="Q99" s="180"/>
      <c r="R99" s="180"/>
      <c r="S99" s="180"/>
    </row>
    <row r="100" spans="1:19" ht="9" customHeight="1">
      <c r="A100" s="180"/>
      <c r="B100" s="180"/>
      <c r="C100" s="180"/>
      <c r="D100" s="180"/>
      <c r="E100" s="180"/>
      <c r="F100" s="180"/>
      <c r="G100" s="180"/>
      <c r="H100" s="595"/>
      <c r="I100" s="595"/>
      <c r="J100" s="180"/>
      <c r="K100" s="180"/>
      <c r="L100" s="180"/>
      <c r="M100" s="180"/>
      <c r="N100" s="180"/>
      <c r="O100" s="180"/>
      <c r="P100" s="180"/>
      <c r="Q100" s="180"/>
      <c r="R100" s="180"/>
      <c r="S100" s="180"/>
    </row>
    <row r="101" spans="1:19" ht="9" customHeight="1">
      <c r="A101" s="596"/>
      <c r="B101" s="596"/>
      <c r="C101" s="596"/>
      <c r="D101" s="596"/>
      <c r="E101" s="596"/>
      <c r="F101" s="596"/>
      <c r="G101" s="596"/>
      <c r="H101" s="180"/>
      <c r="I101" s="180"/>
      <c r="J101" s="587" t="s">
        <v>960</v>
      </c>
      <c r="K101" s="587"/>
      <c r="L101" s="587"/>
      <c r="M101" s="587"/>
      <c r="N101" s="587"/>
      <c r="O101" s="587"/>
      <c r="P101" s="587"/>
      <c r="Q101" s="587"/>
      <c r="R101" s="587"/>
      <c r="S101" s="180"/>
    </row>
    <row r="102" spans="1:19" ht="9" customHeight="1">
      <c r="A102" s="597"/>
      <c r="B102" s="597"/>
      <c r="C102" s="597"/>
      <c r="D102" s="597"/>
      <c r="E102" s="597"/>
      <c r="F102" s="597"/>
      <c r="G102" s="597"/>
      <c r="H102" s="180"/>
      <c r="I102" s="180"/>
      <c r="J102" s="587"/>
      <c r="K102" s="587"/>
      <c r="L102" s="587"/>
      <c r="M102" s="587"/>
      <c r="N102" s="587"/>
      <c r="O102" s="587"/>
      <c r="P102" s="587"/>
      <c r="Q102" s="587"/>
      <c r="R102" s="587"/>
      <c r="S102" s="180"/>
    </row>
    <row r="103" spans="1:19" ht="9" customHeight="1">
      <c r="A103" s="180"/>
      <c r="B103" s="180"/>
      <c r="C103" s="180"/>
      <c r="D103" s="180"/>
      <c r="E103" s="180"/>
      <c r="F103" s="180"/>
      <c r="G103" s="180"/>
      <c r="H103" s="180"/>
      <c r="I103" s="180"/>
      <c r="J103" s="589" t="s">
        <v>1095</v>
      </c>
      <c r="K103" s="589"/>
      <c r="L103" s="589"/>
      <c r="M103" s="589"/>
      <c r="N103" s="589"/>
      <c r="O103" s="589"/>
      <c r="P103" s="589"/>
      <c r="Q103" s="589"/>
      <c r="R103" s="589"/>
      <c r="S103" s="180"/>
    </row>
    <row r="104" spans="1:19" ht="9" customHeight="1">
      <c r="A104" s="180"/>
      <c r="B104" s="180"/>
      <c r="C104" s="180"/>
      <c r="D104" s="180"/>
      <c r="E104" s="180"/>
      <c r="F104" s="180"/>
      <c r="G104" s="180"/>
      <c r="H104" s="180"/>
      <c r="I104" s="180"/>
      <c r="J104" s="589"/>
      <c r="K104" s="589"/>
      <c r="L104" s="589"/>
      <c r="M104" s="589"/>
      <c r="N104" s="589"/>
      <c r="O104" s="589"/>
      <c r="P104" s="589"/>
      <c r="Q104" s="589"/>
      <c r="R104" s="589"/>
      <c r="S104" s="180"/>
    </row>
    <row r="105" spans="1:19" ht="9" customHeight="1">
      <c r="A105" s="556" t="s">
        <v>969</v>
      </c>
      <c r="B105" s="556"/>
      <c r="C105" s="556"/>
      <c r="D105" s="556"/>
      <c r="E105" s="556" t="s">
        <v>970</v>
      </c>
      <c r="F105" s="556"/>
      <c r="G105" s="556"/>
      <c r="H105" s="556"/>
      <c r="I105" s="180"/>
      <c r="J105" s="587" t="s">
        <v>971</v>
      </c>
      <c r="K105" s="587"/>
      <c r="L105" s="587"/>
      <c r="M105" s="587"/>
      <c r="N105" s="587"/>
      <c r="O105" s="587"/>
      <c r="P105" s="587"/>
      <c r="Q105" s="587"/>
      <c r="R105" s="587"/>
      <c r="S105" s="366"/>
    </row>
    <row r="106" spans="1:19" ht="9" customHeight="1">
      <c r="A106" s="556"/>
      <c r="B106" s="556"/>
      <c r="C106" s="556"/>
      <c r="D106" s="556"/>
      <c r="E106" s="556"/>
      <c r="F106" s="556"/>
      <c r="G106" s="556"/>
      <c r="H106" s="556"/>
      <c r="I106" s="180"/>
      <c r="J106" s="587"/>
      <c r="K106" s="587"/>
      <c r="L106" s="587"/>
      <c r="M106" s="587"/>
      <c r="N106" s="587"/>
      <c r="O106" s="587"/>
      <c r="P106" s="587"/>
      <c r="Q106" s="587"/>
      <c r="R106" s="587"/>
      <c r="S106" s="366"/>
    </row>
    <row r="107" spans="1:19" ht="9" customHeight="1">
      <c r="A107" s="567"/>
      <c r="B107" s="567"/>
      <c r="C107" s="567"/>
      <c r="D107" s="567"/>
      <c r="E107" s="590"/>
      <c r="F107" s="569" t="s">
        <v>974</v>
      </c>
      <c r="G107" s="592"/>
      <c r="H107" s="570" t="s">
        <v>975</v>
      </c>
      <c r="I107" s="180"/>
      <c r="J107" s="587" t="s">
        <v>976</v>
      </c>
      <c r="K107" s="587"/>
      <c r="L107" s="587"/>
      <c r="M107" s="587"/>
      <c r="N107" s="587"/>
      <c r="O107" s="587"/>
      <c r="P107" s="587"/>
      <c r="Q107" s="587"/>
      <c r="R107" s="587"/>
      <c r="S107" s="180"/>
    </row>
    <row r="108" spans="1:19" ht="9" customHeight="1">
      <c r="A108" s="567"/>
      <c r="B108" s="567"/>
      <c r="C108" s="567"/>
      <c r="D108" s="567"/>
      <c r="E108" s="591"/>
      <c r="F108" s="572"/>
      <c r="G108" s="593"/>
      <c r="H108" s="573"/>
      <c r="I108" s="180"/>
      <c r="J108" s="587"/>
      <c r="K108" s="587"/>
      <c r="L108" s="587"/>
      <c r="M108" s="587"/>
      <c r="N108" s="587"/>
      <c r="O108" s="587"/>
      <c r="P108" s="587"/>
      <c r="Q108" s="587"/>
      <c r="R108" s="587"/>
      <c r="S108" s="180"/>
    </row>
    <row r="109" spans="1:19" ht="9" customHeight="1">
      <c r="A109" s="556" t="s">
        <v>499</v>
      </c>
      <c r="B109" s="556"/>
      <c r="C109" s="556"/>
      <c r="D109" s="556"/>
      <c r="E109" s="556"/>
      <c r="F109" s="556"/>
      <c r="G109" s="556"/>
      <c r="H109" s="556"/>
      <c r="I109" s="180"/>
      <c r="J109" s="587" t="s">
        <v>982</v>
      </c>
      <c r="K109" s="587"/>
      <c r="L109" s="587"/>
      <c r="M109" s="587"/>
      <c r="N109" s="587"/>
      <c r="O109" s="587"/>
      <c r="P109" s="587"/>
      <c r="Q109" s="587"/>
      <c r="R109" s="587"/>
      <c r="S109" s="180"/>
    </row>
    <row r="110" spans="1:19" ht="9" customHeight="1">
      <c r="A110" s="556"/>
      <c r="B110" s="556"/>
      <c r="C110" s="556"/>
      <c r="D110" s="556"/>
      <c r="E110" s="556"/>
      <c r="F110" s="556"/>
      <c r="G110" s="556"/>
      <c r="H110" s="556"/>
      <c r="I110" s="180"/>
      <c r="J110" s="587"/>
      <c r="K110" s="587"/>
      <c r="L110" s="587"/>
      <c r="M110" s="587"/>
      <c r="N110" s="587"/>
      <c r="O110" s="587"/>
      <c r="P110" s="587"/>
      <c r="Q110" s="587"/>
      <c r="R110" s="587"/>
      <c r="S110" s="180"/>
    </row>
    <row r="111" spans="1:19" ht="9" customHeight="1">
      <c r="A111" s="583"/>
      <c r="B111" s="584"/>
      <c r="C111" s="584"/>
      <c r="D111" s="584"/>
      <c r="E111" s="584"/>
      <c r="F111" s="584"/>
      <c r="G111" s="584"/>
      <c r="H111" s="585"/>
      <c r="I111" s="180"/>
      <c r="J111" s="587" t="s">
        <v>986</v>
      </c>
      <c r="K111" s="587"/>
      <c r="L111" s="587"/>
      <c r="M111" s="587"/>
      <c r="N111" s="587"/>
      <c r="O111" s="587"/>
      <c r="P111" s="587"/>
      <c r="Q111" s="587"/>
      <c r="R111" s="587"/>
      <c r="S111" s="180"/>
    </row>
    <row r="112" spans="1:19" ht="9" customHeight="1">
      <c r="A112" s="559"/>
      <c r="B112" s="586"/>
      <c r="C112" s="586"/>
      <c r="D112" s="586"/>
      <c r="E112" s="586"/>
      <c r="F112" s="586"/>
      <c r="G112" s="586"/>
      <c r="H112" s="557"/>
      <c r="I112" s="180"/>
      <c r="J112" s="587"/>
      <c r="K112" s="587"/>
      <c r="L112" s="587"/>
      <c r="M112" s="587"/>
      <c r="N112" s="587"/>
      <c r="O112" s="587"/>
      <c r="P112" s="587"/>
      <c r="Q112" s="587"/>
      <c r="R112" s="587"/>
      <c r="S112" s="180"/>
    </row>
    <row r="113" spans="1:19" ht="9" customHeight="1">
      <c r="A113" s="556" t="s">
        <v>991</v>
      </c>
      <c r="B113" s="556"/>
      <c r="C113" s="556"/>
      <c r="D113" s="556"/>
      <c r="E113" s="556"/>
      <c r="F113" s="556"/>
      <c r="G113" s="556"/>
      <c r="H113" s="556"/>
      <c r="I113" s="180"/>
      <c r="J113" s="588" t="s">
        <v>1096</v>
      </c>
      <c r="K113" s="588"/>
      <c r="L113" s="588"/>
      <c r="M113" s="588"/>
      <c r="N113" s="588"/>
      <c r="O113" s="588"/>
      <c r="P113" s="588"/>
      <c r="Q113" s="588"/>
      <c r="R113" s="588"/>
      <c r="S113" s="366"/>
    </row>
    <row r="114" spans="1:19" ht="9" customHeight="1">
      <c r="A114" s="556"/>
      <c r="B114" s="556"/>
      <c r="C114" s="556"/>
      <c r="D114" s="556"/>
      <c r="E114" s="556"/>
      <c r="F114" s="556"/>
      <c r="G114" s="556"/>
      <c r="H114" s="556"/>
      <c r="I114" s="180"/>
      <c r="J114" s="588"/>
      <c r="K114" s="588"/>
      <c r="L114" s="588"/>
      <c r="M114" s="588"/>
      <c r="N114" s="588"/>
      <c r="O114" s="588"/>
      <c r="P114" s="588"/>
      <c r="Q114" s="588"/>
      <c r="R114" s="588"/>
      <c r="S114" s="366"/>
    </row>
    <row r="115" spans="1:19" ht="9" customHeight="1">
      <c r="A115" s="567"/>
      <c r="B115" s="567"/>
      <c r="C115" s="567"/>
      <c r="D115" s="567"/>
      <c r="E115" s="567"/>
      <c r="F115" s="567"/>
      <c r="G115" s="567"/>
      <c r="H115" s="567"/>
      <c r="I115" s="180"/>
      <c r="J115" s="180"/>
      <c r="K115" s="180"/>
      <c r="L115" s="180"/>
      <c r="M115" s="180"/>
      <c r="N115" s="180"/>
      <c r="O115" s="180"/>
      <c r="P115" s="180"/>
      <c r="Q115" s="180"/>
      <c r="R115" s="180"/>
      <c r="S115" s="180"/>
    </row>
    <row r="116" spans="1:19" ht="9" customHeight="1">
      <c r="A116" s="567"/>
      <c r="B116" s="567"/>
      <c r="C116" s="567"/>
      <c r="D116" s="567"/>
      <c r="E116" s="567"/>
      <c r="F116" s="567"/>
      <c r="G116" s="567"/>
      <c r="H116" s="567"/>
      <c r="I116" s="180"/>
      <c r="J116" s="180"/>
      <c r="K116" s="180"/>
      <c r="L116" s="180"/>
      <c r="M116" s="180"/>
      <c r="N116" s="180"/>
      <c r="O116" s="180"/>
      <c r="P116" s="180"/>
      <c r="Q116" s="180"/>
      <c r="R116" s="180"/>
      <c r="S116" s="180"/>
    </row>
    <row r="117" spans="1:19" ht="9" customHeight="1">
      <c r="A117" s="180"/>
      <c r="B117" s="180"/>
      <c r="C117" s="180"/>
      <c r="D117" s="180"/>
      <c r="E117" s="180"/>
      <c r="F117" s="180"/>
      <c r="G117" s="180"/>
      <c r="H117" s="180"/>
      <c r="I117" s="180"/>
      <c r="J117" s="180"/>
      <c r="K117" s="180"/>
      <c r="L117" s="180"/>
      <c r="M117" s="180"/>
      <c r="N117" s="180"/>
      <c r="O117" s="180"/>
      <c r="P117" s="180"/>
      <c r="Q117" s="180"/>
      <c r="R117" s="180"/>
      <c r="S117" s="180"/>
    </row>
    <row r="118" spans="1:19" ht="9" customHeight="1">
      <c r="A118" s="180"/>
      <c r="B118" s="180"/>
      <c r="C118" s="180"/>
      <c r="D118" s="180"/>
      <c r="E118" s="180"/>
      <c r="F118" s="180"/>
      <c r="G118" s="180"/>
      <c r="H118" s="180"/>
      <c r="I118" s="180"/>
      <c r="J118" s="180"/>
      <c r="K118" s="180"/>
      <c r="L118" s="180"/>
      <c r="M118" s="180"/>
      <c r="N118" s="180"/>
      <c r="O118" s="180"/>
      <c r="P118" s="180"/>
      <c r="Q118" s="180"/>
      <c r="R118" s="180"/>
      <c r="S118" s="180"/>
    </row>
    <row r="119" spans="1:19" ht="9" customHeight="1">
      <c r="A119" s="556" t="s">
        <v>1000</v>
      </c>
      <c r="B119" s="556"/>
      <c r="C119" s="556"/>
      <c r="D119" s="556"/>
      <c r="E119" s="556"/>
      <c r="F119" s="556"/>
      <c r="G119" s="556" t="s">
        <v>1097</v>
      </c>
      <c r="H119" s="556"/>
      <c r="I119" s="556"/>
      <c r="J119" s="556"/>
      <c r="K119" s="556"/>
      <c r="L119" s="556" t="s">
        <v>548</v>
      </c>
      <c r="M119" s="556"/>
      <c r="N119" s="556" t="s">
        <v>1002</v>
      </c>
      <c r="O119" s="556"/>
      <c r="P119" s="583" t="s">
        <v>1003</v>
      </c>
      <c r="Q119" s="584"/>
      <c r="R119" s="584"/>
      <c r="S119" s="585"/>
    </row>
    <row r="120" spans="1:19" ht="9" customHeight="1">
      <c r="A120" s="556"/>
      <c r="B120" s="556"/>
      <c r="C120" s="556"/>
      <c r="D120" s="556"/>
      <c r="E120" s="556"/>
      <c r="F120" s="556"/>
      <c r="G120" s="556"/>
      <c r="H120" s="556"/>
      <c r="I120" s="556"/>
      <c r="J120" s="556"/>
      <c r="K120" s="556"/>
      <c r="L120" s="556"/>
      <c r="M120" s="556"/>
      <c r="N120" s="556"/>
      <c r="O120" s="556"/>
      <c r="P120" s="559"/>
      <c r="Q120" s="586"/>
      <c r="R120" s="586"/>
      <c r="S120" s="557"/>
    </row>
    <row r="121" spans="1:19" ht="9" customHeight="1">
      <c r="A121" s="567"/>
      <c r="B121" s="567"/>
      <c r="C121" s="567"/>
      <c r="D121" s="567"/>
      <c r="E121" s="567"/>
      <c r="F121" s="567"/>
      <c r="G121" s="567"/>
      <c r="H121" s="567"/>
      <c r="I121" s="567"/>
      <c r="J121" s="567"/>
      <c r="K121" s="567"/>
      <c r="L121" s="576"/>
      <c r="M121" s="576"/>
      <c r="N121" s="576"/>
      <c r="O121" s="576"/>
      <c r="P121" s="577"/>
      <c r="Q121" s="578"/>
      <c r="R121" s="578"/>
      <c r="S121" s="579"/>
    </row>
    <row r="122" spans="1:19" ht="9" customHeight="1">
      <c r="A122" s="567"/>
      <c r="B122" s="567"/>
      <c r="C122" s="567"/>
      <c r="D122" s="567"/>
      <c r="E122" s="567"/>
      <c r="F122" s="567"/>
      <c r="G122" s="567"/>
      <c r="H122" s="567"/>
      <c r="I122" s="567"/>
      <c r="J122" s="567"/>
      <c r="K122" s="567"/>
      <c r="L122" s="576"/>
      <c r="M122" s="576"/>
      <c r="N122" s="576"/>
      <c r="O122" s="576"/>
      <c r="P122" s="580"/>
      <c r="Q122" s="581"/>
      <c r="R122" s="581"/>
      <c r="S122" s="582"/>
    </row>
    <row r="123" spans="1:19" ht="9" customHeight="1">
      <c r="A123" s="567"/>
      <c r="B123" s="567"/>
      <c r="C123" s="567"/>
      <c r="D123" s="567"/>
      <c r="E123" s="567"/>
      <c r="F123" s="567"/>
      <c r="G123" s="567"/>
      <c r="H123" s="567"/>
      <c r="I123" s="567"/>
      <c r="J123" s="567"/>
      <c r="K123" s="567"/>
      <c r="L123" s="576"/>
      <c r="M123" s="576"/>
      <c r="N123" s="576"/>
      <c r="O123" s="576"/>
      <c r="P123" s="568"/>
      <c r="Q123" s="569"/>
      <c r="R123" s="569"/>
      <c r="S123" s="570"/>
    </row>
    <row r="124" spans="1:19" ht="9" customHeight="1">
      <c r="A124" s="567"/>
      <c r="B124" s="567"/>
      <c r="C124" s="567"/>
      <c r="D124" s="567"/>
      <c r="E124" s="567"/>
      <c r="F124" s="567"/>
      <c r="G124" s="567"/>
      <c r="H124" s="567"/>
      <c r="I124" s="567"/>
      <c r="J124" s="567"/>
      <c r="K124" s="567"/>
      <c r="L124" s="576"/>
      <c r="M124" s="576"/>
      <c r="N124" s="576"/>
      <c r="O124" s="576"/>
      <c r="P124" s="571"/>
      <c r="Q124" s="572"/>
      <c r="R124" s="572"/>
      <c r="S124" s="573"/>
    </row>
    <row r="125" spans="1:19" ht="9" customHeight="1">
      <c r="A125" s="567"/>
      <c r="B125" s="567"/>
      <c r="C125" s="567"/>
      <c r="D125" s="567"/>
      <c r="E125" s="567"/>
      <c r="F125" s="567"/>
      <c r="G125" s="567"/>
      <c r="H125" s="567"/>
      <c r="I125" s="567"/>
      <c r="J125" s="567"/>
      <c r="K125" s="567"/>
      <c r="L125" s="576"/>
      <c r="M125" s="576"/>
      <c r="N125" s="576"/>
      <c r="O125" s="576"/>
      <c r="P125" s="577"/>
      <c r="Q125" s="578"/>
      <c r="R125" s="578"/>
      <c r="S125" s="579"/>
    </row>
    <row r="126" spans="1:19" ht="9" customHeight="1">
      <c r="A126" s="567"/>
      <c r="B126" s="567"/>
      <c r="C126" s="567"/>
      <c r="D126" s="567"/>
      <c r="E126" s="567"/>
      <c r="F126" s="567"/>
      <c r="G126" s="567"/>
      <c r="H126" s="567"/>
      <c r="I126" s="567"/>
      <c r="J126" s="567"/>
      <c r="K126" s="567"/>
      <c r="L126" s="576"/>
      <c r="M126" s="576"/>
      <c r="N126" s="576"/>
      <c r="O126" s="576"/>
      <c r="P126" s="580"/>
      <c r="Q126" s="581"/>
      <c r="R126" s="581"/>
      <c r="S126" s="582"/>
    </row>
    <row r="127" spans="1:19" ht="9" customHeight="1">
      <c r="A127" s="567"/>
      <c r="B127" s="567"/>
      <c r="C127" s="567"/>
      <c r="D127" s="567"/>
      <c r="E127" s="567"/>
      <c r="F127" s="567"/>
      <c r="G127" s="567"/>
      <c r="H127" s="567"/>
      <c r="I127" s="567"/>
      <c r="J127" s="567"/>
      <c r="K127" s="567"/>
      <c r="L127" s="576"/>
      <c r="M127" s="576"/>
      <c r="N127" s="576"/>
      <c r="O127" s="576"/>
      <c r="P127" s="568"/>
      <c r="Q127" s="569"/>
      <c r="R127" s="569"/>
      <c r="S127" s="570"/>
    </row>
    <row r="128" spans="1:19" ht="9" customHeight="1">
      <c r="A128" s="567"/>
      <c r="B128" s="567"/>
      <c r="C128" s="567"/>
      <c r="D128" s="567"/>
      <c r="E128" s="567"/>
      <c r="F128" s="567"/>
      <c r="G128" s="567"/>
      <c r="H128" s="567"/>
      <c r="I128" s="567"/>
      <c r="J128" s="567"/>
      <c r="K128" s="567"/>
      <c r="L128" s="576"/>
      <c r="M128" s="576"/>
      <c r="N128" s="576"/>
      <c r="O128" s="576"/>
      <c r="P128" s="571"/>
      <c r="Q128" s="572"/>
      <c r="R128" s="572"/>
      <c r="S128" s="573"/>
    </row>
    <row r="129" spans="1:19" ht="9" customHeight="1">
      <c r="A129" s="567"/>
      <c r="B129" s="567"/>
      <c r="C129" s="567"/>
      <c r="D129" s="567"/>
      <c r="E129" s="567"/>
      <c r="F129" s="567"/>
      <c r="G129" s="567"/>
      <c r="H129" s="567"/>
      <c r="I129" s="567"/>
      <c r="J129" s="567"/>
      <c r="K129" s="567"/>
      <c r="L129" s="576"/>
      <c r="M129" s="576"/>
      <c r="N129" s="576"/>
      <c r="O129" s="576"/>
      <c r="P129" s="577"/>
      <c r="Q129" s="578"/>
      <c r="R129" s="578"/>
      <c r="S129" s="579"/>
    </row>
    <row r="130" spans="1:19" ht="9" customHeight="1">
      <c r="A130" s="567"/>
      <c r="B130" s="567"/>
      <c r="C130" s="567"/>
      <c r="D130" s="567"/>
      <c r="E130" s="567"/>
      <c r="F130" s="567"/>
      <c r="G130" s="567"/>
      <c r="H130" s="567"/>
      <c r="I130" s="567"/>
      <c r="J130" s="567"/>
      <c r="K130" s="567"/>
      <c r="L130" s="576"/>
      <c r="M130" s="576"/>
      <c r="N130" s="576"/>
      <c r="O130" s="576"/>
      <c r="P130" s="580"/>
      <c r="Q130" s="581"/>
      <c r="R130" s="581"/>
      <c r="S130" s="582"/>
    </row>
    <row r="131" spans="1:19" ht="9" customHeight="1">
      <c r="A131" s="567"/>
      <c r="B131" s="567"/>
      <c r="C131" s="567"/>
      <c r="D131" s="567"/>
      <c r="E131" s="567"/>
      <c r="F131" s="567"/>
      <c r="G131" s="567"/>
      <c r="H131" s="567"/>
      <c r="I131" s="567"/>
      <c r="J131" s="567"/>
      <c r="K131" s="567"/>
      <c r="L131" s="576"/>
      <c r="M131" s="576"/>
      <c r="N131" s="576"/>
      <c r="O131" s="576"/>
      <c r="P131" s="568"/>
      <c r="Q131" s="569"/>
      <c r="R131" s="569"/>
      <c r="S131" s="570"/>
    </row>
    <row r="132" spans="1:19" ht="9" customHeight="1">
      <c r="A132" s="567"/>
      <c r="B132" s="567"/>
      <c r="C132" s="567"/>
      <c r="D132" s="567"/>
      <c r="E132" s="567"/>
      <c r="F132" s="567"/>
      <c r="G132" s="567"/>
      <c r="H132" s="567"/>
      <c r="I132" s="567"/>
      <c r="J132" s="567"/>
      <c r="K132" s="567"/>
      <c r="L132" s="576"/>
      <c r="M132" s="576"/>
      <c r="N132" s="576"/>
      <c r="O132" s="576"/>
      <c r="P132" s="571"/>
      <c r="Q132" s="572"/>
      <c r="R132" s="572"/>
      <c r="S132" s="573"/>
    </row>
    <row r="133" spans="1:19" ht="9" customHeight="1">
      <c r="A133" s="567"/>
      <c r="B133" s="567"/>
      <c r="C133" s="567"/>
      <c r="D133" s="567"/>
      <c r="E133" s="567"/>
      <c r="F133" s="567"/>
      <c r="G133" s="567"/>
      <c r="H133" s="567"/>
      <c r="I133" s="567"/>
      <c r="J133" s="567"/>
      <c r="K133" s="567"/>
      <c r="L133" s="576"/>
      <c r="M133" s="576"/>
      <c r="N133" s="576"/>
      <c r="O133" s="576"/>
      <c r="P133" s="568"/>
      <c r="Q133" s="569"/>
      <c r="R133" s="569"/>
      <c r="S133" s="570"/>
    </row>
    <row r="134" spans="1:19" ht="9" customHeight="1">
      <c r="A134" s="567"/>
      <c r="B134" s="567"/>
      <c r="C134" s="567"/>
      <c r="D134" s="567"/>
      <c r="E134" s="567"/>
      <c r="F134" s="567"/>
      <c r="G134" s="567"/>
      <c r="H134" s="567"/>
      <c r="I134" s="567"/>
      <c r="J134" s="567"/>
      <c r="K134" s="567"/>
      <c r="L134" s="576"/>
      <c r="M134" s="576"/>
      <c r="N134" s="576"/>
      <c r="O134" s="576"/>
      <c r="P134" s="571"/>
      <c r="Q134" s="572"/>
      <c r="R134" s="572"/>
      <c r="S134" s="573"/>
    </row>
    <row r="135" spans="1:19" ht="9" customHeight="1">
      <c r="A135" s="567"/>
      <c r="B135" s="567"/>
      <c r="C135" s="567"/>
      <c r="D135" s="567"/>
      <c r="E135" s="567"/>
      <c r="F135" s="567"/>
      <c r="G135" s="567"/>
      <c r="H135" s="567"/>
      <c r="I135" s="567"/>
      <c r="J135" s="567"/>
      <c r="K135" s="567"/>
      <c r="L135" s="576"/>
      <c r="M135" s="576"/>
      <c r="N135" s="576"/>
      <c r="O135" s="576"/>
      <c r="P135" s="568"/>
      <c r="Q135" s="569"/>
      <c r="R135" s="569"/>
      <c r="S135" s="570"/>
    </row>
    <row r="136" spans="1:19" ht="9" customHeight="1">
      <c r="A136" s="567"/>
      <c r="B136" s="567"/>
      <c r="C136" s="567"/>
      <c r="D136" s="567"/>
      <c r="E136" s="567"/>
      <c r="F136" s="567"/>
      <c r="G136" s="567"/>
      <c r="H136" s="567"/>
      <c r="I136" s="567"/>
      <c r="J136" s="567"/>
      <c r="K136" s="567"/>
      <c r="L136" s="576"/>
      <c r="M136" s="576"/>
      <c r="N136" s="576"/>
      <c r="O136" s="576"/>
      <c r="P136" s="571"/>
      <c r="Q136" s="572"/>
      <c r="R136" s="572"/>
      <c r="S136" s="573"/>
    </row>
    <row r="137" spans="1:19" ht="9" customHeight="1">
      <c r="A137" s="567"/>
      <c r="B137" s="567"/>
      <c r="C137" s="567"/>
      <c r="D137" s="567"/>
      <c r="E137" s="567"/>
      <c r="F137" s="567"/>
      <c r="G137" s="567"/>
      <c r="H137" s="567"/>
      <c r="I137" s="567"/>
      <c r="J137" s="567"/>
      <c r="K137" s="567"/>
      <c r="L137" s="576"/>
      <c r="M137" s="576"/>
      <c r="N137" s="576"/>
      <c r="O137" s="576"/>
      <c r="P137" s="568"/>
      <c r="Q137" s="569"/>
      <c r="R137" s="569"/>
      <c r="S137" s="570"/>
    </row>
    <row r="138" spans="1:19" ht="9" customHeight="1">
      <c r="A138" s="567"/>
      <c r="B138" s="567"/>
      <c r="C138" s="567"/>
      <c r="D138" s="567"/>
      <c r="E138" s="567"/>
      <c r="F138" s="567"/>
      <c r="G138" s="567"/>
      <c r="H138" s="567"/>
      <c r="I138" s="567"/>
      <c r="J138" s="567"/>
      <c r="K138" s="567"/>
      <c r="L138" s="576"/>
      <c r="M138" s="576"/>
      <c r="N138" s="576"/>
      <c r="O138" s="576"/>
      <c r="P138" s="571"/>
      <c r="Q138" s="572"/>
      <c r="R138" s="572"/>
      <c r="S138" s="573"/>
    </row>
    <row r="139" spans="1:19" ht="9" customHeight="1">
      <c r="A139" s="567"/>
      <c r="B139" s="567"/>
      <c r="C139" s="567"/>
      <c r="D139" s="567"/>
      <c r="E139" s="567"/>
      <c r="F139" s="567"/>
      <c r="G139" s="567"/>
      <c r="H139" s="567"/>
      <c r="I139" s="567"/>
      <c r="J139" s="567"/>
      <c r="K139" s="567"/>
      <c r="L139" s="576"/>
      <c r="M139" s="576"/>
      <c r="N139" s="576"/>
      <c r="O139" s="576"/>
      <c r="P139" s="568"/>
      <c r="Q139" s="569"/>
      <c r="R139" s="569"/>
      <c r="S139" s="570"/>
    </row>
    <row r="140" spans="1:19" ht="9" customHeight="1">
      <c r="A140" s="567"/>
      <c r="B140" s="567"/>
      <c r="C140" s="567"/>
      <c r="D140" s="567"/>
      <c r="E140" s="567"/>
      <c r="F140" s="567"/>
      <c r="G140" s="567"/>
      <c r="H140" s="567"/>
      <c r="I140" s="567"/>
      <c r="J140" s="567"/>
      <c r="K140" s="567"/>
      <c r="L140" s="576"/>
      <c r="M140" s="576"/>
      <c r="N140" s="576"/>
      <c r="O140" s="576"/>
      <c r="P140" s="571"/>
      <c r="Q140" s="572"/>
      <c r="R140" s="572"/>
      <c r="S140" s="573"/>
    </row>
    <row r="141" spans="1:19" ht="9" customHeight="1">
      <c r="A141" s="567"/>
      <c r="B141" s="567"/>
      <c r="C141" s="567"/>
      <c r="D141" s="567"/>
      <c r="E141" s="567"/>
      <c r="F141" s="567"/>
      <c r="G141" s="567"/>
      <c r="H141" s="567"/>
      <c r="I141" s="567"/>
      <c r="J141" s="567"/>
      <c r="K141" s="567"/>
      <c r="L141" s="576"/>
      <c r="M141" s="576"/>
      <c r="N141" s="576"/>
      <c r="O141" s="576"/>
      <c r="P141" s="568"/>
      <c r="Q141" s="569"/>
      <c r="R141" s="569"/>
      <c r="S141" s="570"/>
    </row>
    <row r="142" spans="1:19" ht="9" customHeight="1">
      <c r="A142" s="567"/>
      <c r="B142" s="567"/>
      <c r="C142" s="567"/>
      <c r="D142" s="567"/>
      <c r="E142" s="567"/>
      <c r="F142" s="567"/>
      <c r="G142" s="567"/>
      <c r="H142" s="567"/>
      <c r="I142" s="567"/>
      <c r="J142" s="567"/>
      <c r="K142" s="567"/>
      <c r="L142" s="576"/>
      <c r="M142" s="576"/>
      <c r="N142" s="576"/>
      <c r="O142" s="576"/>
      <c r="P142" s="571"/>
      <c r="Q142" s="572"/>
      <c r="R142" s="572"/>
      <c r="S142" s="573"/>
    </row>
    <row r="143" spans="1:19" ht="9" customHeight="1">
      <c r="A143" s="567"/>
      <c r="B143" s="567"/>
      <c r="C143" s="567"/>
      <c r="D143" s="567"/>
      <c r="E143" s="567"/>
      <c r="F143" s="567"/>
      <c r="G143" s="567"/>
      <c r="H143" s="567"/>
      <c r="I143" s="567"/>
      <c r="J143" s="567"/>
      <c r="K143" s="567"/>
      <c r="L143" s="556"/>
      <c r="M143" s="556"/>
      <c r="N143" s="575"/>
      <c r="O143" s="575"/>
      <c r="P143" s="568"/>
      <c r="Q143" s="569"/>
      <c r="R143" s="569"/>
      <c r="S143" s="570"/>
    </row>
    <row r="144" spans="1:19" ht="9" customHeight="1">
      <c r="A144" s="567"/>
      <c r="B144" s="567"/>
      <c r="C144" s="567"/>
      <c r="D144" s="567"/>
      <c r="E144" s="567"/>
      <c r="F144" s="567"/>
      <c r="G144" s="567"/>
      <c r="H144" s="567"/>
      <c r="I144" s="567"/>
      <c r="J144" s="567"/>
      <c r="K144" s="567"/>
      <c r="L144" s="556"/>
      <c r="M144" s="556"/>
      <c r="N144" s="575"/>
      <c r="O144" s="575"/>
      <c r="P144" s="571"/>
      <c r="Q144" s="572"/>
      <c r="R144" s="572"/>
      <c r="S144" s="573"/>
    </row>
    <row r="145" spans="1:19" ht="9" customHeight="1">
      <c r="A145" s="567"/>
      <c r="B145" s="567"/>
      <c r="C145" s="567"/>
      <c r="D145" s="567"/>
      <c r="E145" s="567"/>
      <c r="F145" s="567"/>
      <c r="G145" s="567"/>
      <c r="H145" s="567"/>
      <c r="I145" s="567"/>
      <c r="J145" s="567"/>
      <c r="K145" s="567"/>
      <c r="L145" s="556"/>
      <c r="M145" s="556"/>
      <c r="N145" s="575"/>
      <c r="O145" s="575"/>
      <c r="P145" s="568"/>
      <c r="Q145" s="569"/>
      <c r="R145" s="569"/>
      <c r="S145" s="570"/>
    </row>
    <row r="146" spans="1:19" ht="9" customHeight="1">
      <c r="A146" s="567"/>
      <c r="B146" s="567"/>
      <c r="C146" s="567"/>
      <c r="D146" s="567"/>
      <c r="E146" s="567"/>
      <c r="F146" s="567"/>
      <c r="G146" s="567"/>
      <c r="H146" s="567"/>
      <c r="I146" s="567"/>
      <c r="J146" s="567"/>
      <c r="K146" s="567"/>
      <c r="L146" s="556"/>
      <c r="M146" s="556"/>
      <c r="N146" s="575"/>
      <c r="O146" s="575"/>
      <c r="P146" s="571"/>
      <c r="Q146" s="572"/>
      <c r="R146" s="572"/>
      <c r="S146" s="573"/>
    </row>
    <row r="147" spans="1:19" ht="9" customHeight="1">
      <c r="A147" s="567"/>
      <c r="B147" s="567"/>
      <c r="C147" s="567"/>
      <c r="D147" s="567"/>
      <c r="E147" s="567"/>
      <c r="F147" s="567"/>
      <c r="G147" s="567"/>
      <c r="H147" s="567"/>
      <c r="I147" s="567"/>
      <c r="J147" s="567"/>
      <c r="K147" s="567"/>
      <c r="L147" s="556"/>
      <c r="M147" s="556"/>
      <c r="N147" s="575"/>
      <c r="O147" s="575"/>
      <c r="P147" s="568"/>
      <c r="Q147" s="569"/>
      <c r="R147" s="569"/>
      <c r="S147" s="570"/>
    </row>
    <row r="148" spans="1:19" ht="9" customHeight="1">
      <c r="A148" s="567"/>
      <c r="B148" s="567"/>
      <c r="C148" s="567"/>
      <c r="D148" s="567"/>
      <c r="E148" s="567"/>
      <c r="F148" s="567"/>
      <c r="G148" s="567"/>
      <c r="H148" s="567"/>
      <c r="I148" s="567"/>
      <c r="J148" s="567"/>
      <c r="K148" s="567"/>
      <c r="L148" s="556"/>
      <c r="M148" s="556"/>
      <c r="N148" s="575"/>
      <c r="O148" s="575"/>
      <c r="P148" s="571"/>
      <c r="Q148" s="572"/>
      <c r="R148" s="572"/>
      <c r="S148" s="573"/>
    </row>
    <row r="149" spans="1:19" ht="9" customHeight="1">
      <c r="A149" s="567"/>
      <c r="B149" s="567"/>
      <c r="C149" s="567"/>
      <c r="D149" s="567"/>
      <c r="E149" s="567"/>
      <c r="F149" s="567"/>
      <c r="G149" s="567"/>
      <c r="H149" s="567"/>
      <c r="I149" s="567"/>
      <c r="J149" s="567"/>
      <c r="K149" s="567"/>
      <c r="L149" s="556"/>
      <c r="M149" s="556"/>
      <c r="N149" s="575"/>
      <c r="O149" s="575"/>
      <c r="P149" s="568"/>
      <c r="Q149" s="569"/>
      <c r="R149" s="569"/>
      <c r="S149" s="570"/>
    </row>
    <row r="150" spans="1:19" ht="9" customHeight="1">
      <c r="A150" s="567"/>
      <c r="B150" s="567"/>
      <c r="C150" s="567"/>
      <c r="D150" s="567"/>
      <c r="E150" s="567"/>
      <c r="F150" s="567"/>
      <c r="G150" s="567"/>
      <c r="H150" s="567"/>
      <c r="I150" s="567"/>
      <c r="J150" s="567"/>
      <c r="K150" s="567"/>
      <c r="L150" s="556"/>
      <c r="M150" s="556"/>
      <c r="N150" s="575"/>
      <c r="O150" s="575"/>
      <c r="P150" s="571"/>
      <c r="Q150" s="572"/>
      <c r="R150" s="572"/>
      <c r="S150" s="573"/>
    </row>
    <row r="151" spans="1:19" ht="9" customHeight="1">
      <c r="A151" s="567"/>
      <c r="B151" s="567"/>
      <c r="C151" s="567"/>
      <c r="D151" s="567"/>
      <c r="E151" s="567"/>
      <c r="F151" s="567"/>
      <c r="G151" s="567"/>
      <c r="H151" s="567"/>
      <c r="I151" s="567"/>
      <c r="J151" s="567"/>
      <c r="K151" s="567"/>
      <c r="L151" s="556"/>
      <c r="M151" s="556"/>
      <c r="N151" s="575"/>
      <c r="O151" s="575"/>
      <c r="P151" s="568"/>
      <c r="Q151" s="569"/>
      <c r="R151" s="569"/>
      <c r="S151" s="570"/>
    </row>
    <row r="152" spans="1:19" ht="9" customHeight="1">
      <c r="A152" s="567"/>
      <c r="B152" s="567"/>
      <c r="C152" s="567"/>
      <c r="D152" s="567"/>
      <c r="E152" s="567"/>
      <c r="F152" s="567"/>
      <c r="G152" s="567"/>
      <c r="H152" s="567"/>
      <c r="I152" s="567"/>
      <c r="J152" s="567"/>
      <c r="K152" s="567"/>
      <c r="L152" s="556"/>
      <c r="M152" s="556"/>
      <c r="N152" s="575"/>
      <c r="O152" s="575"/>
      <c r="P152" s="571"/>
      <c r="Q152" s="572"/>
      <c r="R152" s="572"/>
      <c r="S152" s="573"/>
    </row>
    <row r="153" spans="1:19" ht="9" customHeight="1">
      <c r="A153" s="567"/>
      <c r="B153" s="567"/>
      <c r="C153" s="567"/>
      <c r="D153" s="567"/>
      <c r="E153" s="567"/>
      <c r="F153" s="567"/>
      <c r="G153" s="567"/>
      <c r="H153" s="567"/>
      <c r="I153" s="567"/>
      <c r="J153" s="567"/>
      <c r="K153" s="567"/>
      <c r="L153" s="556"/>
      <c r="M153" s="556"/>
      <c r="N153" s="575"/>
      <c r="O153" s="575"/>
      <c r="P153" s="568"/>
      <c r="Q153" s="569"/>
      <c r="R153" s="569"/>
      <c r="S153" s="570"/>
    </row>
    <row r="154" spans="1:19" ht="9" customHeight="1">
      <c r="A154" s="567"/>
      <c r="B154" s="567"/>
      <c r="C154" s="567"/>
      <c r="D154" s="567"/>
      <c r="E154" s="567"/>
      <c r="F154" s="567"/>
      <c r="G154" s="567"/>
      <c r="H154" s="567"/>
      <c r="I154" s="567"/>
      <c r="J154" s="567"/>
      <c r="K154" s="567"/>
      <c r="L154" s="556"/>
      <c r="M154" s="556"/>
      <c r="N154" s="575"/>
      <c r="O154" s="575"/>
      <c r="P154" s="571"/>
      <c r="Q154" s="572"/>
      <c r="R154" s="572"/>
      <c r="S154" s="573"/>
    </row>
    <row r="155" spans="1:19" ht="9" customHeight="1">
      <c r="A155" s="567"/>
      <c r="B155" s="567"/>
      <c r="C155" s="567"/>
      <c r="D155" s="567"/>
      <c r="E155" s="567"/>
      <c r="F155" s="567"/>
      <c r="G155" s="567"/>
      <c r="H155" s="567"/>
      <c r="I155" s="567"/>
      <c r="J155" s="567"/>
      <c r="K155" s="567"/>
      <c r="L155" s="556"/>
      <c r="M155" s="556"/>
      <c r="N155" s="567"/>
      <c r="O155" s="567"/>
      <c r="P155" s="568"/>
      <c r="Q155" s="569"/>
      <c r="R155" s="569"/>
      <c r="S155" s="570"/>
    </row>
    <row r="156" spans="1:19" ht="9" customHeight="1">
      <c r="A156" s="567"/>
      <c r="B156" s="567"/>
      <c r="C156" s="567"/>
      <c r="D156" s="567"/>
      <c r="E156" s="567"/>
      <c r="F156" s="567"/>
      <c r="G156" s="567"/>
      <c r="H156" s="567"/>
      <c r="I156" s="567"/>
      <c r="J156" s="567"/>
      <c r="K156" s="567"/>
      <c r="L156" s="556"/>
      <c r="M156" s="556"/>
      <c r="N156" s="567"/>
      <c r="O156" s="567"/>
      <c r="P156" s="571"/>
      <c r="Q156" s="572"/>
      <c r="R156" s="572"/>
      <c r="S156" s="573"/>
    </row>
    <row r="157" spans="1:19" ht="9" customHeight="1">
      <c r="A157" s="567"/>
      <c r="B157" s="567"/>
      <c r="C157" s="567"/>
      <c r="D157" s="567"/>
      <c r="E157" s="567"/>
      <c r="F157" s="567"/>
      <c r="G157" s="567"/>
      <c r="H157" s="567"/>
      <c r="I157" s="567"/>
      <c r="J157" s="567"/>
      <c r="K157" s="567"/>
      <c r="L157" s="556"/>
      <c r="M157" s="556"/>
      <c r="N157" s="556" t="s">
        <v>1064</v>
      </c>
      <c r="O157" s="556"/>
      <c r="P157" s="568"/>
      <c r="Q157" s="569"/>
      <c r="R157" s="569"/>
      <c r="S157" s="570"/>
    </row>
    <row r="158" spans="1:19" ht="9" customHeight="1">
      <c r="A158" s="567"/>
      <c r="B158" s="567"/>
      <c r="C158" s="567"/>
      <c r="D158" s="567"/>
      <c r="E158" s="567"/>
      <c r="F158" s="567"/>
      <c r="G158" s="567"/>
      <c r="H158" s="567"/>
      <c r="I158" s="567"/>
      <c r="J158" s="567"/>
      <c r="K158" s="567"/>
      <c r="L158" s="556"/>
      <c r="M158" s="556"/>
      <c r="N158" s="556"/>
      <c r="O158" s="556"/>
      <c r="P158" s="571"/>
      <c r="Q158" s="572"/>
      <c r="R158" s="572"/>
      <c r="S158" s="573"/>
    </row>
    <row r="159" spans="1:19" ht="9" customHeight="1">
      <c r="A159" s="574" t="s">
        <v>1065</v>
      </c>
      <c r="B159" s="574"/>
      <c r="C159" s="574"/>
      <c r="D159" s="574"/>
      <c r="E159" s="574"/>
      <c r="F159" s="180"/>
      <c r="G159" s="180"/>
      <c r="H159" s="180"/>
      <c r="I159" s="180"/>
      <c r="J159" s="556" t="s">
        <v>466</v>
      </c>
      <c r="K159" s="556"/>
      <c r="L159" s="556"/>
      <c r="M159" s="556" t="s">
        <v>1066</v>
      </c>
      <c r="N159" s="556"/>
      <c r="O159" s="556"/>
      <c r="P159" s="180"/>
      <c r="Q159" s="180"/>
      <c r="R159" s="180"/>
      <c r="S159" s="180"/>
    </row>
    <row r="160" spans="1:19" ht="9" customHeight="1">
      <c r="A160" s="574"/>
      <c r="B160" s="574"/>
      <c r="C160" s="574"/>
      <c r="D160" s="574"/>
      <c r="E160" s="574"/>
      <c r="F160" s="180"/>
      <c r="G160" s="180"/>
      <c r="H160" s="180"/>
      <c r="I160" s="180"/>
      <c r="J160" s="556"/>
      <c r="K160" s="556"/>
      <c r="L160" s="556"/>
      <c r="M160" s="556"/>
      <c r="N160" s="556"/>
      <c r="O160" s="556"/>
      <c r="P160" s="180"/>
      <c r="Q160" s="180"/>
      <c r="R160" s="180"/>
      <c r="S160" s="180"/>
    </row>
    <row r="161" spans="1:19" ht="9" customHeight="1">
      <c r="A161" s="180"/>
      <c r="B161" s="180"/>
      <c r="C161" s="180"/>
      <c r="D161" s="180"/>
      <c r="E161" s="180"/>
      <c r="F161" s="180"/>
      <c r="G161" s="180"/>
      <c r="H161" s="180"/>
      <c r="I161" s="180"/>
      <c r="J161" s="547" t="s">
        <v>1098</v>
      </c>
      <c r="K161" s="548"/>
      <c r="L161" s="549"/>
      <c r="M161" s="556"/>
      <c r="N161" s="556"/>
      <c r="O161" s="556"/>
      <c r="P161" s="180"/>
      <c r="Q161" s="180"/>
      <c r="R161" s="180"/>
      <c r="S161" s="180"/>
    </row>
    <row r="162" spans="1:19" ht="9" customHeight="1">
      <c r="A162" s="180"/>
      <c r="B162" s="180"/>
      <c r="C162" s="180"/>
      <c r="D162" s="180"/>
      <c r="E162" s="180"/>
      <c r="F162" s="180"/>
      <c r="G162" s="180"/>
      <c r="H162" s="180"/>
      <c r="I162" s="180"/>
      <c r="J162" s="550"/>
      <c r="K162" s="551"/>
      <c r="L162" s="552"/>
      <c r="M162" s="556"/>
      <c r="N162" s="556"/>
      <c r="O162" s="556"/>
      <c r="P162" s="180"/>
      <c r="Q162" s="180"/>
      <c r="R162" s="180"/>
      <c r="S162" s="180"/>
    </row>
    <row r="163" spans="1:19" ht="9" customHeight="1">
      <c r="A163" s="180"/>
      <c r="B163" s="180"/>
      <c r="C163" s="180"/>
      <c r="D163" s="180"/>
      <c r="E163" s="180"/>
      <c r="F163" s="180"/>
      <c r="G163" s="180"/>
      <c r="H163" s="180"/>
      <c r="I163" s="180"/>
      <c r="J163" s="550"/>
      <c r="K163" s="551"/>
      <c r="L163" s="552"/>
      <c r="M163" s="556"/>
      <c r="N163" s="556"/>
      <c r="O163" s="556"/>
      <c r="P163" s="180"/>
      <c r="Q163" s="180"/>
      <c r="R163" s="180"/>
      <c r="S163" s="180"/>
    </row>
    <row r="164" spans="1:19" ht="9" customHeight="1">
      <c r="A164" s="180"/>
      <c r="B164" s="180"/>
      <c r="C164" s="180"/>
      <c r="D164" s="180"/>
      <c r="E164" s="180"/>
      <c r="F164" s="180"/>
      <c r="G164" s="180"/>
      <c r="H164" s="180"/>
      <c r="I164" s="180"/>
      <c r="J164" s="550"/>
      <c r="K164" s="551"/>
      <c r="L164" s="552"/>
      <c r="M164" s="556"/>
      <c r="N164" s="556"/>
      <c r="O164" s="556"/>
      <c r="P164" s="180"/>
      <c r="Q164" s="180"/>
      <c r="R164" s="180"/>
      <c r="S164" s="180"/>
    </row>
    <row r="165" spans="1:19" ht="9" customHeight="1">
      <c r="A165" s="180"/>
      <c r="B165" s="180"/>
      <c r="C165" s="180"/>
      <c r="D165" s="180"/>
      <c r="E165" s="180"/>
      <c r="F165" s="180"/>
      <c r="G165" s="180"/>
      <c r="H165" s="180"/>
      <c r="I165" s="180"/>
      <c r="J165" s="550"/>
      <c r="K165" s="551"/>
      <c r="L165" s="552"/>
      <c r="M165" s="556"/>
      <c r="N165" s="556"/>
      <c r="O165" s="556"/>
      <c r="P165" s="180"/>
      <c r="Q165" s="180"/>
      <c r="R165" s="180"/>
      <c r="S165" s="180"/>
    </row>
    <row r="166" spans="1:19" ht="9" customHeight="1">
      <c r="A166" s="180"/>
      <c r="B166" s="180"/>
      <c r="C166" s="180"/>
      <c r="D166" s="180"/>
      <c r="E166" s="180"/>
      <c r="F166" s="180"/>
      <c r="G166" s="180"/>
      <c r="H166" s="180"/>
      <c r="I166" s="180"/>
      <c r="J166" s="553"/>
      <c r="K166" s="554"/>
      <c r="L166" s="555"/>
      <c r="M166" s="556"/>
      <c r="N166" s="556"/>
      <c r="O166" s="556"/>
      <c r="P166" s="180"/>
      <c r="Q166" s="180"/>
      <c r="R166" s="180"/>
      <c r="S166" s="180"/>
    </row>
    <row r="167" spans="1:19" ht="9" customHeight="1">
      <c r="A167" s="557" t="s">
        <v>453</v>
      </c>
      <c r="B167" s="558"/>
      <c r="C167" s="559"/>
      <c r="D167" s="180"/>
      <c r="E167" s="180"/>
      <c r="F167" s="180"/>
      <c r="G167" s="180"/>
      <c r="H167" s="180"/>
      <c r="I167" s="180"/>
      <c r="J167" s="180"/>
      <c r="K167" s="180"/>
      <c r="L167" s="180"/>
      <c r="M167" s="180"/>
      <c r="N167" s="180"/>
      <c r="O167" s="180"/>
      <c r="P167" s="180"/>
      <c r="Q167" s="180"/>
      <c r="R167" s="180"/>
      <c r="S167" s="180"/>
    </row>
    <row r="168" spans="1:19" ht="9" customHeight="1">
      <c r="A168" s="560"/>
      <c r="B168" s="556"/>
      <c r="C168" s="561"/>
      <c r="D168" s="180"/>
      <c r="E168" s="180"/>
      <c r="F168" s="180"/>
      <c r="G168" s="180"/>
      <c r="H168" s="180"/>
      <c r="I168" s="180"/>
      <c r="J168" s="180"/>
      <c r="K168" s="180"/>
      <c r="L168" s="180"/>
      <c r="M168" s="180"/>
      <c r="N168" s="180"/>
      <c r="O168" s="180"/>
      <c r="P168" s="180"/>
      <c r="Q168" s="180"/>
      <c r="R168" s="180"/>
      <c r="S168" s="180"/>
    </row>
    <row r="169" spans="1:19" ht="9" customHeight="1">
      <c r="A169" s="562" t="s">
        <v>1099</v>
      </c>
      <c r="B169" s="563"/>
      <c r="C169" s="563"/>
      <c r="D169" s="564"/>
      <c r="E169" s="564"/>
      <c r="F169" s="564"/>
      <c r="G169" s="564"/>
      <c r="H169" s="564"/>
      <c r="I169" s="564"/>
      <c r="J169" s="564"/>
      <c r="K169" s="564"/>
      <c r="L169" s="564"/>
      <c r="M169" s="564"/>
      <c r="N169" s="564"/>
      <c r="O169" s="564"/>
      <c r="P169" s="564"/>
      <c r="Q169" s="564"/>
      <c r="R169" s="564"/>
      <c r="S169" s="565"/>
    </row>
    <row r="170" spans="1:19" ht="9" customHeight="1">
      <c r="A170" s="562"/>
      <c r="B170" s="563"/>
      <c r="C170" s="563"/>
      <c r="D170" s="563"/>
      <c r="E170" s="563"/>
      <c r="F170" s="563"/>
      <c r="G170" s="563"/>
      <c r="H170" s="563"/>
      <c r="I170" s="563"/>
      <c r="J170" s="563"/>
      <c r="K170" s="563"/>
      <c r="L170" s="563"/>
      <c r="M170" s="563"/>
      <c r="N170" s="563"/>
      <c r="O170" s="563"/>
      <c r="P170" s="563"/>
      <c r="Q170" s="563"/>
      <c r="R170" s="563"/>
      <c r="S170" s="566"/>
    </row>
    <row r="171" spans="1:19" ht="9" customHeight="1">
      <c r="A171" s="562" t="s">
        <v>1087</v>
      </c>
      <c r="B171" s="563"/>
      <c r="C171" s="563"/>
      <c r="D171" s="564"/>
      <c r="E171" s="564"/>
      <c r="F171" s="564"/>
      <c r="G171" s="564"/>
      <c r="H171" s="564"/>
      <c r="I171" s="564"/>
      <c r="J171" s="564"/>
      <c r="K171" s="564"/>
      <c r="L171" s="564"/>
      <c r="M171" s="564"/>
      <c r="N171" s="564"/>
      <c r="O171" s="564"/>
      <c r="P171" s="564"/>
      <c r="Q171" s="564"/>
      <c r="R171" s="564"/>
      <c r="S171" s="565"/>
    </row>
    <row r="172" spans="1:19" ht="9" customHeight="1">
      <c r="A172" s="562"/>
      <c r="B172" s="563"/>
      <c r="C172" s="563"/>
      <c r="D172" s="563"/>
      <c r="E172" s="563"/>
      <c r="F172" s="563"/>
      <c r="G172" s="563"/>
      <c r="H172" s="563"/>
      <c r="I172" s="563"/>
      <c r="J172" s="563"/>
      <c r="K172" s="563"/>
      <c r="L172" s="563"/>
      <c r="M172" s="563"/>
      <c r="N172" s="563"/>
      <c r="O172" s="563"/>
      <c r="P172" s="563"/>
      <c r="Q172" s="563"/>
      <c r="R172" s="563"/>
      <c r="S172" s="566"/>
    </row>
    <row r="173" spans="1:19" ht="9" customHeight="1">
      <c r="A173" s="180"/>
      <c r="B173" s="180"/>
      <c r="C173" s="180"/>
      <c r="D173" s="180"/>
      <c r="E173" s="180"/>
      <c r="F173" s="180"/>
      <c r="G173" s="180"/>
      <c r="H173" s="180"/>
      <c r="I173" s="180"/>
      <c r="J173" s="180"/>
      <c r="K173" s="180"/>
      <c r="L173" s="180"/>
      <c r="M173" s="180"/>
      <c r="N173" s="180"/>
      <c r="O173" s="180"/>
      <c r="P173" s="180"/>
      <c r="Q173" s="180"/>
      <c r="R173" s="180"/>
      <c r="S173" s="180"/>
    </row>
  </sheetData>
  <mergeCells count="480">
    <mergeCell ref="A1:S2"/>
    <mergeCell ref="T2:Y3"/>
    <mergeCell ref="Z2:AE3"/>
    <mergeCell ref="AF2:AK3"/>
    <mergeCell ref="AL2:AQ3"/>
    <mergeCell ref="AR2:AW3"/>
    <mergeCell ref="AX2:BC3"/>
    <mergeCell ref="BD2:BE3"/>
    <mergeCell ref="T4:Y5"/>
    <mergeCell ref="Z4:AE5"/>
    <mergeCell ref="AF4:AK5"/>
    <mergeCell ref="AL4:AQ5"/>
    <mergeCell ref="AR4:AW5"/>
    <mergeCell ref="AX4:BC5"/>
    <mergeCell ref="BD4:BE5"/>
    <mergeCell ref="A6:S7"/>
    <mergeCell ref="T6:Y7"/>
    <mergeCell ref="Z6:AE7"/>
    <mergeCell ref="AF6:AK7"/>
    <mergeCell ref="AL6:AQ7"/>
    <mergeCell ref="A8:S9"/>
    <mergeCell ref="T8:Y9"/>
    <mergeCell ref="Z8:AE9"/>
    <mergeCell ref="AF8:AK9"/>
    <mergeCell ref="AL8:AQ9"/>
    <mergeCell ref="A12:G13"/>
    <mergeCell ref="T12:Y13"/>
    <mergeCell ref="Z12:AE13"/>
    <mergeCell ref="AF12:AK13"/>
    <mergeCell ref="T10:Y11"/>
    <mergeCell ref="Z10:AE11"/>
    <mergeCell ref="AF10:AK11"/>
    <mergeCell ref="AL10:AQ11"/>
    <mergeCell ref="AR10:AW11"/>
    <mergeCell ref="AL12:AQ13"/>
    <mergeCell ref="AR12:AW13"/>
    <mergeCell ref="AX12:BC13"/>
    <mergeCell ref="H13:I14"/>
    <mergeCell ref="T14:Y15"/>
    <mergeCell ref="Z14:AE15"/>
    <mergeCell ref="AF14:AK15"/>
    <mergeCell ref="AL14:AQ15"/>
    <mergeCell ref="K11:M12"/>
    <mergeCell ref="N11:S12"/>
    <mergeCell ref="AX10:BC11"/>
    <mergeCell ref="A15:G16"/>
    <mergeCell ref="J15:R16"/>
    <mergeCell ref="T16:Y17"/>
    <mergeCell ref="Z16:AE17"/>
    <mergeCell ref="AF16:AK17"/>
    <mergeCell ref="AL16:AQ17"/>
    <mergeCell ref="J17:R18"/>
    <mergeCell ref="T18:Y19"/>
    <mergeCell ref="Z18:AE19"/>
    <mergeCell ref="AF18:AK19"/>
    <mergeCell ref="AL18:AQ19"/>
    <mergeCell ref="A19:D20"/>
    <mergeCell ref="E19:H20"/>
    <mergeCell ref="J19:S20"/>
    <mergeCell ref="T20:Y21"/>
    <mergeCell ref="Z20:AE21"/>
    <mergeCell ref="AF20:AK21"/>
    <mergeCell ref="AL20:AQ21"/>
    <mergeCell ref="A21:D22"/>
    <mergeCell ref="E21:E22"/>
    <mergeCell ref="AF22:AK23"/>
    <mergeCell ref="AL22:AQ23"/>
    <mergeCell ref="AR22:AW23"/>
    <mergeCell ref="AX22:BC23"/>
    <mergeCell ref="BD22:BE23"/>
    <mergeCell ref="A23:H24"/>
    <mergeCell ref="J23:R24"/>
    <mergeCell ref="T24:Y25"/>
    <mergeCell ref="Z24:AE25"/>
    <mergeCell ref="AF24:AK25"/>
    <mergeCell ref="F21:F22"/>
    <mergeCell ref="G21:G22"/>
    <mergeCell ref="H21:H22"/>
    <mergeCell ref="J21:R22"/>
    <mergeCell ref="T22:Y23"/>
    <mergeCell ref="Z22:AE23"/>
    <mergeCell ref="AL24:AQ25"/>
    <mergeCell ref="A25:H26"/>
    <mergeCell ref="J25:R26"/>
    <mergeCell ref="T26:Y27"/>
    <mergeCell ref="Z26:AE27"/>
    <mergeCell ref="AF26:AK27"/>
    <mergeCell ref="AL26:AQ27"/>
    <mergeCell ref="A27:H28"/>
    <mergeCell ref="J27:S28"/>
    <mergeCell ref="T28:Y29"/>
    <mergeCell ref="A33:F34"/>
    <mergeCell ref="G33:L34"/>
    <mergeCell ref="M33:N34"/>
    <mergeCell ref="O33:P34"/>
    <mergeCell ref="Q33:S34"/>
    <mergeCell ref="Z28:AE29"/>
    <mergeCell ref="AF28:AK29"/>
    <mergeCell ref="AL28:AQ29"/>
    <mergeCell ref="AR28:AT29"/>
    <mergeCell ref="A29:H30"/>
    <mergeCell ref="T30:Y31"/>
    <mergeCell ref="Z30:AE31"/>
    <mergeCell ref="AF30:AK31"/>
    <mergeCell ref="AL30:AQ31"/>
    <mergeCell ref="AR30:AT31"/>
    <mergeCell ref="AU33:AZ34"/>
    <mergeCell ref="BA33:BF34"/>
    <mergeCell ref="BG33:BH34"/>
    <mergeCell ref="T34:Y35"/>
    <mergeCell ref="Z34:AE35"/>
    <mergeCell ref="AF34:AK35"/>
    <mergeCell ref="AL34:AQ35"/>
    <mergeCell ref="AR34:AR35"/>
    <mergeCell ref="BA35:BF36"/>
    <mergeCell ref="BG35:BH36"/>
    <mergeCell ref="T32:Y33"/>
    <mergeCell ref="Z32:AE33"/>
    <mergeCell ref="AF32:AK33"/>
    <mergeCell ref="AL32:AQ33"/>
    <mergeCell ref="AU37:AZ38"/>
    <mergeCell ref="BA37:BF38"/>
    <mergeCell ref="BG37:BH38"/>
    <mergeCell ref="T38:Y39"/>
    <mergeCell ref="Z38:AE39"/>
    <mergeCell ref="AF38:AK39"/>
    <mergeCell ref="AL38:AQ39"/>
    <mergeCell ref="AR36:AR37"/>
    <mergeCell ref="A37:F38"/>
    <mergeCell ref="G37:L38"/>
    <mergeCell ref="M37:N38"/>
    <mergeCell ref="O37:P38"/>
    <mergeCell ref="Q37:S38"/>
    <mergeCell ref="A35:F36"/>
    <mergeCell ref="G35:L36"/>
    <mergeCell ref="M35:N36"/>
    <mergeCell ref="O35:P36"/>
    <mergeCell ref="Q35:S36"/>
    <mergeCell ref="AU35:AZ36"/>
    <mergeCell ref="T36:Y37"/>
    <mergeCell ref="Z36:AE37"/>
    <mergeCell ref="AF36:AK37"/>
    <mergeCell ref="AL36:AQ37"/>
    <mergeCell ref="Z40:AE41"/>
    <mergeCell ref="AF40:AK41"/>
    <mergeCell ref="AL40:AQ41"/>
    <mergeCell ref="AR40:AW41"/>
    <mergeCell ref="AX40:BC41"/>
    <mergeCell ref="A41:F42"/>
    <mergeCell ref="G41:L42"/>
    <mergeCell ref="M41:N42"/>
    <mergeCell ref="O41:P42"/>
    <mergeCell ref="Q41:S42"/>
    <mergeCell ref="A39:F40"/>
    <mergeCell ref="G39:L40"/>
    <mergeCell ref="M39:N40"/>
    <mergeCell ref="O39:P40"/>
    <mergeCell ref="Q39:S40"/>
    <mergeCell ref="T40:Y41"/>
    <mergeCell ref="A45:F46"/>
    <mergeCell ref="G45:L46"/>
    <mergeCell ref="M45:N46"/>
    <mergeCell ref="O45:P46"/>
    <mergeCell ref="Q45:S46"/>
    <mergeCell ref="T42:Y43"/>
    <mergeCell ref="Z42:AE43"/>
    <mergeCell ref="AF42:AK43"/>
    <mergeCell ref="AL42:AQ43"/>
    <mergeCell ref="A43:F44"/>
    <mergeCell ref="G43:L44"/>
    <mergeCell ref="M43:N44"/>
    <mergeCell ref="O43:P44"/>
    <mergeCell ref="Q43:S44"/>
    <mergeCell ref="T44:Y45"/>
    <mergeCell ref="AU45:AZ46"/>
    <mergeCell ref="BA45:BF46"/>
    <mergeCell ref="BG45:BH46"/>
    <mergeCell ref="T46:Y47"/>
    <mergeCell ref="Z46:AE47"/>
    <mergeCell ref="AF46:AK47"/>
    <mergeCell ref="AL46:AQ47"/>
    <mergeCell ref="BA47:BF48"/>
    <mergeCell ref="BG47:BH48"/>
    <mergeCell ref="Z44:AE45"/>
    <mergeCell ref="AF44:AK45"/>
    <mergeCell ref="AL44:AQ45"/>
    <mergeCell ref="A47:F48"/>
    <mergeCell ref="G47:L48"/>
    <mergeCell ref="M47:N48"/>
    <mergeCell ref="O47:P48"/>
    <mergeCell ref="Q47:S48"/>
    <mergeCell ref="AU47:AZ48"/>
    <mergeCell ref="T48:Y49"/>
    <mergeCell ref="Z48:AE49"/>
    <mergeCell ref="AF48:AK49"/>
    <mergeCell ref="AL48:AQ49"/>
    <mergeCell ref="Z50:AE51"/>
    <mergeCell ref="AF50:AK51"/>
    <mergeCell ref="AL50:AQ51"/>
    <mergeCell ref="A51:F52"/>
    <mergeCell ref="G51:L52"/>
    <mergeCell ref="M51:N52"/>
    <mergeCell ref="O51:P52"/>
    <mergeCell ref="Q51:S52"/>
    <mergeCell ref="T52:Y53"/>
    <mergeCell ref="Z52:AE53"/>
    <mergeCell ref="A49:F50"/>
    <mergeCell ref="G49:L50"/>
    <mergeCell ref="M49:N50"/>
    <mergeCell ref="O49:P50"/>
    <mergeCell ref="Q49:S50"/>
    <mergeCell ref="T50:Y51"/>
    <mergeCell ref="AF52:AK53"/>
    <mergeCell ref="AL52:AQ53"/>
    <mergeCell ref="A53:F54"/>
    <mergeCell ref="G53:L54"/>
    <mergeCell ref="M53:N54"/>
    <mergeCell ref="O53:P54"/>
    <mergeCell ref="Q53:S54"/>
    <mergeCell ref="T54:Y55"/>
    <mergeCell ref="Z54:AE55"/>
    <mergeCell ref="AF54:AK55"/>
    <mergeCell ref="AL54:AQ55"/>
    <mergeCell ref="AR54:AS55"/>
    <mergeCell ref="A55:F56"/>
    <mergeCell ref="G55:L56"/>
    <mergeCell ref="M55:N56"/>
    <mergeCell ref="O55:P56"/>
    <mergeCell ref="Q55:S56"/>
    <mergeCell ref="T56:Y57"/>
    <mergeCell ref="Z56:AE57"/>
    <mergeCell ref="AF56:AK57"/>
    <mergeCell ref="AL56:AQ57"/>
    <mergeCell ref="AR56:AT57"/>
    <mergeCell ref="A57:F58"/>
    <mergeCell ref="G57:L58"/>
    <mergeCell ref="M57:N58"/>
    <mergeCell ref="O57:P58"/>
    <mergeCell ref="Q57:S58"/>
    <mergeCell ref="T58:Y59"/>
    <mergeCell ref="Z58:AE59"/>
    <mergeCell ref="AF58:AK59"/>
    <mergeCell ref="AL58:AQ59"/>
    <mergeCell ref="AR58:AT59"/>
    <mergeCell ref="A59:F60"/>
    <mergeCell ref="G59:L60"/>
    <mergeCell ref="M59:N60"/>
    <mergeCell ref="O59:P60"/>
    <mergeCell ref="Q59:S60"/>
    <mergeCell ref="T60:Y61"/>
    <mergeCell ref="Z60:AE61"/>
    <mergeCell ref="AF60:AK61"/>
    <mergeCell ref="AL60:AQ61"/>
    <mergeCell ref="A61:F62"/>
    <mergeCell ref="G61:L62"/>
    <mergeCell ref="M61:N62"/>
    <mergeCell ref="O61:P62"/>
    <mergeCell ref="Q61:S62"/>
    <mergeCell ref="T62:Y63"/>
    <mergeCell ref="Z62:AE63"/>
    <mergeCell ref="AF62:AK63"/>
    <mergeCell ref="AL62:AQ63"/>
    <mergeCell ref="Z64:AE65"/>
    <mergeCell ref="AF64:AK65"/>
    <mergeCell ref="AL64:AQ65"/>
    <mergeCell ref="A65:F66"/>
    <mergeCell ref="G65:L66"/>
    <mergeCell ref="M65:N66"/>
    <mergeCell ref="O65:P66"/>
    <mergeCell ref="Q65:S66"/>
    <mergeCell ref="T66:Y67"/>
    <mergeCell ref="Z66:AE67"/>
    <mergeCell ref="A63:F64"/>
    <mergeCell ref="G63:L64"/>
    <mergeCell ref="M63:N64"/>
    <mergeCell ref="O63:P64"/>
    <mergeCell ref="Q63:S64"/>
    <mergeCell ref="T64:Y65"/>
    <mergeCell ref="AF66:AK67"/>
    <mergeCell ref="AL66:AQ67"/>
    <mergeCell ref="A67:F68"/>
    <mergeCell ref="G67:L68"/>
    <mergeCell ref="M67:N68"/>
    <mergeCell ref="O67:P68"/>
    <mergeCell ref="Q67:S68"/>
    <mergeCell ref="T68:Y69"/>
    <mergeCell ref="Z68:AE69"/>
    <mergeCell ref="AF68:AK69"/>
    <mergeCell ref="AL68:AQ69"/>
    <mergeCell ref="A69:F70"/>
    <mergeCell ref="G69:L70"/>
    <mergeCell ref="M69:N70"/>
    <mergeCell ref="O69:P70"/>
    <mergeCell ref="Q69:S70"/>
    <mergeCell ref="T70:Y71"/>
    <mergeCell ref="Z70:AE71"/>
    <mergeCell ref="AF70:AK71"/>
    <mergeCell ref="AL70:AQ71"/>
    <mergeCell ref="Z72:AE73"/>
    <mergeCell ref="AF72:AK73"/>
    <mergeCell ref="AL72:AQ73"/>
    <mergeCell ref="A73:E74"/>
    <mergeCell ref="J73:L74"/>
    <mergeCell ref="M73:O74"/>
    <mergeCell ref="T74:Y75"/>
    <mergeCell ref="Z74:AE75"/>
    <mergeCell ref="AF74:AK75"/>
    <mergeCell ref="AL74:AQ75"/>
    <mergeCell ref="A71:F72"/>
    <mergeCell ref="G71:L72"/>
    <mergeCell ref="M71:N72"/>
    <mergeCell ref="O71:P72"/>
    <mergeCell ref="Q71:S72"/>
    <mergeCell ref="T72:Y73"/>
    <mergeCell ref="T80:Y81"/>
    <mergeCell ref="Z80:AE81"/>
    <mergeCell ref="AF80:AK81"/>
    <mergeCell ref="AL80:AQ81"/>
    <mergeCell ref="A81:C82"/>
    <mergeCell ref="T82:Y83"/>
    <mergeCell ref="Z82:AE83"/>
    <mergeCell ref="AF82:AK83"/>
    <mergeCell ref="AL82:AQ83"/>
    <mergeCell ref="A83:S84"/>
    <mergeCell ref="J75:L80"/>
    <mergeCell ref="M75:O80"/>
    <mergeCell ref="T76:Y77"/>
    <mergeCell ref="Z76:AE77"/>
    <mergeCell ref="AF76:AK77"/>
    <mergeCell ref="AL76:AQ77"/>
    <mergeCell ref="T78:Y79"/>
    <mergeCell ref="Z78:AE79"/>
    <mergeCell ref="AF78:AK79"/>
    <mergeCell ref="AL78:AQ79"/>
    <mergeCell ref="AL88:AQ89"/>
    <mergeCell ref="A92:S93"/>
    <mergeCell ref="A94:S95"/>
    <mergeCell ref="T84:Y85"/>
    <mergeCell ref="Z84:AE85"/>
    <mergeCell ref="AF84:AK85"/>
    <mergeCell ref="AL84:AQ85"/>
    <mergeCell ref="A85:S86"/>
    <mergeCell ref="T86:Y87"/>
    <mergeCell ref="Z86:AE87"/>
    <mergeCell ref="AF86:AK87"/>
    <mergeCell ref="AL86:AQ87"/>
    <mergeCell ref="K97:M98"/>
    <mergeCell ref="N97:S98"/>
    <mergeCell ref="A98:G99"/>
    <mergeCell ref="H99:I100"/>
    <mergeCell ref="A101:G102"/>
    <mergeCell ref="J101:R102"/>
    <mergeCell ref="T88:Y89"/>
    <mergeCell ref="Z88:AE89"/>
    <mergeCell ref="AF88:AK89"/>
    <mergeCell ref="J103:R104"/>
    <mergeCell ref="A105:D106"/>
    <mergeCell ref="E105:H106"/>
    <mergeCell ref="J105:S106"/>
    <mergeCell ref="A107:D108"/>
    <mergeCell ref="E107:E108"/>
    <mergeCell ref="F107:F108"/>
    <mergeCell ref="G107:G108"/>
    <mergeCell ref="H107:H108"/>
    <mergeCell ref="J107:R108"/>
    <mergeCell ref="A115:H116"/>
    <mergeCell ref="A119:F120"/>
    <mergeCell ref="G119:K120"/>
    <mergeCell ref="L119:M120"/>
    <mergeCell ref="N119:O120"/>
    <mergeCell ref="P119:S120"/>
    <mergeCell ref="A109:H110"/>
    <mergeCell ref="J109:R110"/>
    <mergeCell ref="A111:H112"/>
    <mergeCell ref="J111:R112"/>
    <mergeCell ref="A113:H114"/>
    <mergeCell ref="J113:S114"/>
    <mergeCell ref="A121:F122"/>
    <mergeCell ref="G121:K122"/>
    <mergeCell ref="L121:M122"/>
    <mergeCell ref="N121:O122"/>
    <mergeCell ref="P121:S122"/>
    <mergeCell ref="A123:F124"/>
    <mergeCell ref="G123:K124"/>
    <mergeCell ref="L123:M124"/>
    <mergeCell ref="N123:O124"/>
    <mergeCell ref="P123:S124"/>
    <mergeCell ref="A125:F126"/>
    <mergeCell ref="G125:K126"/>
    <mergeCell ref="L125:M126"/>
    <mergeCell ref="N125:O126"/>
    <mergeCell ref="P125:S126"/>
    <mergeCell ref="A127:F128"/>
    <mergeCell ref="G127:K128"/>
    <mergeCell ref="L127:M128"/>
    <mergeCell ref="N127:O128"/>
    <mergeCell ref="P127:S128"/>
    <mergeCell ref="A129:F130"/>
    <mergeCell ref="G129:K130"/>
    <mergeCell ref="L129:M130"/>
    <mergeCell ref="N129:O130"/>
    <mergeCell ref="P129:S130"/>
    <mergeCell ref="A131:F132"/>
    <mergeCell ref="G131:K132"/>
    <mergeCell ref="L131:M132"/>
    <mergeCell ref="N131:O132"/>
    <mergeCell ref="P131:S132"/>
    <mergeCell ref="A133:F134"/>
    <mergeCell ref="G133:K134"/>
    <mergeCell ref="L133:M134"/>
    <mergeCell ref="N133:O134"/>
    <mergeCell ref="P133:S134"/>
    <mergeCell ref="A135:F136"/>
    <mergeCell ref="G135:K136"/>
    <mergeCell ref="L135:M136"/>
    <mergeCell ref="N135:O136"/>
    <mergeCell ref="P135:S136"/>
    <mergeCell ref="A137:F138"/>
    <mergeCell ref="G137:K138"/>
    <mergeCell ref="L137:M138"/>
    <mergeCell ref="N137:O138"/>
    <mergeCell ref="P137:S138"/>
    <mergeCell ref="A139:F140"/>
    <mergeCell ref="G139:K140"/>
    <mergeCell ref="L139:M140"/>
    <mergeCell ref="N139:O140"/>
    <mergeCell ref="P139:S140"/>
    <mergeCell ref="A141:F142"/>
    <mergeCell ref="G141:K142"/>
    <mergeCell ref="L141:M142"/>
    <mergeCell ref="N141:O142"/>
    <mergeCell ref="P141:S142"/>
    <mergeCell ref="A143:F144"/>
    <mergeCell ref="G143:K144"/>
    <mergeCell ref="L143:M144"/>
    <mergeCell ref="N143:O144"/>
    <mergeCell ref="P143:S144"/>
    <mergeCell ref="A145:F146"/>
    <mergeCell ref="G145:K146"/>
    <mergeCell ref="L145:M146"/>
    <mergeCell ref="N145:O146"/>
    <mergeCell ref="P145:S146"/>
    <mergeCell ref="A147:F148"/>
    <mergeCell ref="G147:K148"/>
    <mergeCell ref="L147:M148"/>
    <mergeCell ref="N147:O148"/>
    <mergeCell ref="P147:S148"/>
    <mergeCell ref="A149:F150"/>
    <mergeCell ref="G149:K150"/>
    <mergeCell ref="L149:M150"/>
    <mergeCell ref="N149:O150"/>
    <mergeCell ref="P149:S150"/>
    <mergeCell ref="A151:F152"/>
    <mergeCell ref="G151:K152"/>
    <mergeCell ref="L151:M152"/>
    <mergeCell ref="N151:O152"/>
    <mergeCell ref="P151:S152"/>
    <mergeCell ref="A153:F154"/>
    <mergeCell ref="G153:K154"/>
    <mergeCell ref="L153:M154"/>
    <mergeCell ref="N153:O154"/>
    <mergeCell ref="P153:S154"/>
    <mergeCell ref="A155:F156"/>
    <mergeCell ref="G155:K156"/>
    <mergeCell ref="L155:M156"/>
    <mergeCell ref="N155:O156"/>
    <mergeCell ref="P155:S156"/>
    <mergeCell ref="J161:L166"/>
    <mergeCell ref="M161:O166"/>
    <mergeCell ref="A167:C168"/>
    <mergeCell ref="A169:S170"/>
    <mergeCell ref="A171:S172"/>
    <mergeCell ref="A157:F158"/>
    <mergeCell ref="G157:K158"/>
    <mergeCell ref="L157:M158"/>
    <mergeCell ref="N157:O158"/>
    <mergeCell ref="P157:S158"/>
    <mergeCell ref="A159:E160"/>
    <mergeCell ref="J159:L160"/>
    <mergeCell ref="M159:O160"/>
  </mergeCells>
  <phoneticPr fontId="1"/>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2C2F1-4830-462B-80EE-F19AD8CE1488}">
  <dimension ref="A1:AD38"/>
  <sheetViews>
    <sheetView workbookViewId="0">
      <selection activeCell="J5" sqref="J5"/>
    </sheetView>
  </sheetViews>
  <sheetFormatPr defaultRowHeight="13.5"/>
  <cols>
    <col min="1" max="3" width="6.625"/>
    <col min="4" max="7" width="4.75" customWidth="1"/>
    <col min="8" max="19" width="6.625"/>
    <col min="20" max="20" width="6.875" bestFit="1" customWidth="1"/>
  </cols>
  <sheetData>
    <row r="1" spans="1:30" ht="17.25">
      <c r="A1" s="645" t="s">
        <v>1100</v>
      </c>
      <c r="B1" s="645"/>
      <c r="C1" s="645"/>
      <c r="D1" s="645"/>
      <c r="E1" s="645"/>
      <c r="F1" s="645"/>
      <c r="G1" s="645"/>
      <c r="H1" s="645"/>
      <c r="I1" s="645"/>
      <c r="J1" s="645"/>
      <c r="K1" s="645"/>
      <c r="L1" s="645"/>
      <c r="M1" s="645"/>
      <c r="N1" s="645"/>
      <c r="O1" s="174" t="s">
        <v>1101</v>
      </c>
      <c r="P1" s="174"/>
      <c r="Q1" s="643" t="s">
        <v>1102</v>
      </c>
      <c r="R1" s="643"/>
      <c r="S1" s="643"/>
      <c r="T1" s="643"/>
      <c r="U1" s="643"/>
      <c r="V1" s="646" t="s">
        <v>1103</v>
      </c>
      <c r="W1" s="646"/>
      <c r="X1" s="174"/>
      <c r="Y1" s="174"/>
      <c r="Z1" s="174"/>
      <c r="AA1" s="174"/>
      <c r="AB1" s="174"/>
    </row>
    <row r="2" spans="1:30" ht="21">
      <c r="A2" s="177"/>
      <c r="B2" s="177"/>
      <c r="C2" s="177"/>
      <c r="D2" s="177"/>
      <c r="E2" s="185"/>
      <c r="F2" s="186"/>
      <c r="G2" s="186"/>
      <c r="H2" s="186"/>
      <c r="I2" s="186"/>
      <c r="J2" s="187"/>
      <c r="K2" s="187"/>
      <c r="L2" s="187"/>
      <c r="M2" s="187"/>
      <c r="N2" s="187"/>
      <c r="O2" s="174"/>
      <c r="P2" s="174"/>
      <c r="Q2" s="643" t="s">
        <v>1104</v>
      </c>
      <c r="R2" s="643"/>
      <c r="S2" s="643"/>
      <c r="T2" s="643"/>
      <c r="U2" s="643"/>
      <c r="V2" s="646" t="s">
        <v>1105</v>
      </c>
      <c r="W2" s="646"/>
      <c r="X2" s="174"/>
      <c r="Y2" s="174"/>
      <c r="Z2" s="174"/>
      <c r="AA2" s="174"/>
      <c r="AB2" s="174"/>
    </row>
    <row r="3" spans="1:30" ht="17.25">
      <c r="A3" s="177"/>
      <c r="B3" s="177"/>
      <c r="C3" s="177"/>
      <c r="D3" s="177"/>
      <c r="E3" s="185"/>
      <c r="F3" s="177"/>
      <c r="G3" s="177"/>
      <c r="H3" s="177"/>
      <c r="I3" s="177"/>
      <c r="J3" s="637" t="s">
        <v>1218</v>
      </c>
      <c r="K3" s="637"/>
      <c r="L3" s="637"/>
      <c r="M3" s="637"/>
      <c r="N3" s="637"/>
      <c r="O3" s="174"/>
      <c r="P3" s="174"/>
      <c r="Q3" s="174"/>
      <c r="R3" s="174"/>
      <c r="S3" s="174"/>
      <c r="T3" s="174"/>
      <c r="U3" s="188"/>
      <c r="V3" s="175"/>
      <c r="W3" s="647" t="s">
        <v>1106</v>
      </c>
      <c r="X3" s="646"/>
      <c r="Y3" s="648"/>
      <c r="Z3" s="618" t="s">
        <v>1107</v>
      </c>
      <c r="AA3" s="618"/>
      <c r="AB3" s="618"/>
      <c r="AC3" s="618"/>
      <c r="AD3" s="189"/>
    </row>
    <row r="4" spans="1:30" ht="21">
      <c r="A4" s="177"/>
      <c r="B4" s="177"/>
      <c r="C4" s="177"/>
      <c r="D4" s="177"/>
      <c r="E4" s="185"/>
      <c r="F4" s="177"/>
      <c r="G4" s="177"/>
      <c r="H4" s="177"/>
      <c r="I4" s="177"/>
      <c r="J4" s="187"/>
      <c r="K4" s="187"/>
      <c r="L4" s="187"/>
      <c r="M4" s="187"/>
      <c r="N4" s="187"/>
      <c r="O4" s="649" t="s">
        <v>1108</v>
      </c>
      <c r="P4" s="649"/>
      <c r="Q4" s="618"/>
      <c r="R4" s="650" t="s">
        <v>1109</v>
      </c>
      <c r="S4" s="650"/>
      <c r="T4" s="650"/>
      <c r="U4" s="650"/>
      <c r="V4" s="189"/>
      <c r="W4" s="647" t="s">
        <v>1110</v>
      </c>
      <c r="X4" s="646"/>
      <c r="Y4" s="648"/>
      <c r="Z4" s="618" t="s">
        <v>1107</v>
      </c>
      <c r="AA4" s="618"/>
      <c r="AB4" s="618"/>
      <c r="AC4" s="618"/>
      <c r="AD4" s="189"/>
    </row>
    <row r="5" spans="1:30" ht="21">
      <c r="A5" s="636" t="s">
        <v>1111</v>
      </c>
      <c r="B5" s="636"/>
      <c r="C5" s="636"/>
      <c r="D5" s="636"/>
      <c r="E5" s="185"/>
      <c r="F5" s="177"/>
      <c r="G5" s="177"/>
      <c r="H5" s="177"/>
      <c r="I5" s="177"/>
      <c r="J5" s="187"/>
      <c r="K5" s="187"/>
      <c r="L5" s="187"/>
      <c r="M5" s="187"/>
      <c r="N5" s="187"/>
      <c r="O5" s="651" t="s">
        <v>1112</v>
      </c>
      <c r="P5" s="652"/>
      <c r="Q5" s="652"/>
      <c r="R5" s="650" t="s">
        <v>1113</v>
      </c>
      <c r="S5" s="650"/>
      <c r="T5" s="650"/>
      <c r="U5" s="650"/>
      <c r="V5" s="189"/>
      <c r="W5" s="647" t="s">
        <v>1114</v>
      </c>
      <c r="X5" s="646"/>
      <c r="Y5" s="648"/>
      <c r="Z5" s="618" t="s">
        <v>1115</v>
      </c>
      <c r="AA5" s="618"/>
      <c r="AB5" s="618"/>
      <c r="AC5" s="618"/>
      <c r="AD5" s="189"/>
    </row>
    <row r="6" spans="1:30" ht="17.25">
      <c r="A6" s="177"/>
      <c r="B6" s="185"/>
      <c r="C6" s="185"/>
      <c r="D6" s="185"/>
      <c r="E6" s="185"/>
      <c r="F6" s="185"/>
      <c r="G6" s="185"/>
      <c r="H6" s="177"/>
      <c r="I6" s="177"/>
      <c r="J6" s="653" t="s">
        <v>1116</v>
      </c>
      <c r="K6" s="653"/>
      <c r="L6" s="653"/>
      <c r="M6" s="653"/>
      <c r="N6" s="653"/>
      <c r="O6" s="651" t="s">
        <v>1117</v>
      </c>
      <c r="P6" s="652"/>
      <c r="Q6" s="652"/>
      <c r="R6" s="650" t="s">
        <v>1118</v>
      </c>
      <c r="S6" s="650"/>
      <c r="T6" s="650"/>
      <c r="U6" s="650"/>
      <c r="V6" s="189"/>
      <c r="W6" s="647" t="s">
        <v>1119</v>
      </c>
      <c r="X6" s="646"/>
      <c r="Y6" s="648"/>
      <c r="Z6" s="618" t="s">
        <v>1120</v>
      </c>
      <c r="AA6" s="618"/>
      <c r="AB6" s="618"/>
      <c r="AC6" s="618"/>
      <c r="AD6" s="189"/>
    </row>
    <row r="7" spans="1:30" ht="14.25">
      <c r="A7" s="190"/>
      <c r="B7" s="643" t="s">
        <v>1102</v>
      </c>
      <c r="C7" s="643"/>
      <c r="D7" s="643"/>
      <c r="E7" s="643"/>
      <c r="F7" s="643"/>
      <c r="G7" s="190" t="s">
        <v>1121</v>
      </c>
      <c r="H7" s="177"/>
      <c r="I7" s="177"/>
      <c r="J7" s="653" t="s">
        <v>1122</v>
      </c>
      <c r="K7" s="653"/>
      <c r="L7" s="653"/>
      <c r="M7" s="653"/>
      <c r="N7" s="653"/>
      <c r="O7" s="649" t="s">
        <v>1123</v>
      </c>
      <c r="P7" s="649"/>
      <c r="Q7" s="618"/>
      <c r="R7" s="651" t="s">
        <v>1124</v>
      </c>
      <c r="S7" s="651"/>
      <c r="T7" s="651"/>
      <c r="U7" s="650"/>
      <c r="V7" s="189"/>
      <c r="W7" s="647" t="s">
        <v>1125</v>
      </c>
      <c r="X7" s="646"/>
      <c r="Y7" s="648"/>
      <c r="Z7" s="618" t="s">
        <v>1126</v>
      </c>
      <c r="AA7" s="618"/>
      <c r="AB7" s="618"/>
      <c r="AC7" s="618"/>
      <c r="AD7" s="189"/>
    </row>
    <row r="8" spans="1:30" ht="14.25">
      <c r="A8" s="191"/>
      <c r="B8" s="191"/>
      <c r="C8" s="174"/>
      <c r="D8" s="192"/>
      <c r="E8" s="646" t="s">
        <v>1127</v>
      </c>
      <c r="F8" s="646"/>
      <c r="G8" s="193" t="s">
        <v>1128</v>
      </c>
      <c r="H8" s="177"/>
      <c r="I8" s="177"/>
      <c r="J8" s="653" t="s">
        <v>1129</v>
      </c>
      <c r="K8" s="653"/>
      <c r="L8" s="653"/>
      <c r="M8" s="653"/>
      <c r="N8" s="653"/>
      <c r="O8" s="649" t="s">
        <v>1130</v>
      </c>
      <c r="P8" s="649"/>
      <c r="Q8" s="649"/>
      <c r="R8" s="651" t="s">
        <v>1131</v>
      </c>
      <c r="S8" s="651"/>
      <c r="T8" s="651"/>
      <c r="U8" s="650"/>
      <c r="V8" s="189"/>
      <c r="W8" s="647" t="s">
        <v>1132</v>
      </c>
      <c r="X8" s="646"/>
      <c r="Y8" s="648"/>
      <c r="Z8" s="618" t="s">
        <v>1133</v>
      </c>
      <c r="AA8" s="618"/>
      <c r="AB8" s="618"/>
      <c r="AC8" s="618"/>
      <c r="AD8" s="189"/>
    </row>
    <row r="9" spans="1:30" ht="17.25">
      <c r="A9" s="177"/>
      <c r="B9" s="177"/>
      <c r="C9" s="186"/>
      <c r="D9" s="177"/>
      <c r="E9" s="185"/>
      <c r="F9" s="177"/>
      <c r="G9" s="177"/>
      <c r="H9" s="177"/>
      <c r="I9" s="177"/>
      <c r="J9" s="653" t="s">
        <v>1134</v>
      </c>
      <c r="K9" s="653"/>
      <c r="L9" s="653"/>
      <c r="M9" s="653"/>
      <c r="N9" s="653"/>
      <c r="O9" s="649" t="s">
        <v>1135</v>
      </c>
      <c r="P9" s="649"/>
      <c r="Q9" s="649"/>
      <c r="R9" s="651" t="s">
        <v>1136</v>
      </c>
      <c r="S9" s="651"/>
      <c r="T9" s="651"/>
      <c r="U9" s="650"/>
      <c r="V9" s="189"/>
      <c r="W9" s="647" t="s">
        <v>1137</v>
      </c>
      <c r="X9" s="646"/>
      <c r="Y9" s="648"/>
      <c r="Z9" s="650" t="s">
        <v>1138</v>
      </c>
      <c r="AA9" s="650"/>
      <c r="AB9" s="650"/>
      <c r="AC9" s="650"/>
      <c r="AD9" s="189"/>
    </row>
    <row r="10" spans="1:30" ht="14.25">
      <c r="A10" s="654" t="s">
        <v>1139</v>
      </c>
      <c r="B10" s="654"/>
      <c r="C10" s="654"/>
      <c r="D10" s="654"/>
      <c r="E10" s="654"/>
      <c r="F10" s="654"/>
      <c r="G10" s="654"/>
      <c r="H10" s="177"/>
      <c r="I10" s="177"/>
      <c r="J10" s="653" t="s">
        <v>1140</v>
      </c>
      <c r="K10" s="653"/>
      <c r="L10" s="653"/>
      <c r="M10" s="653"/>
      <c r="N10" s="653"/>
      <c r="O10" s="649" t="s">
        <v>1141</v>
      </c>
      <c r="P10" s="649"/>
      <c r="Q10" s="649"/>
      <c r="R10" s="655" t="s">
        <v>1142</v>
      </c>
      <c r="S10" s="655"/>
      <c r="T10" s="655"/>
      <c r="U10" s="656"/>
      <c r="V10" s="189"/>
      <c r="W10" s="647" t="s">
        <v>1143</v>
      </c>
      <c r="X10" s="646"/>
      <c r="Y10" s="648"/>
      <c r="Z10" s="618" t="s">
        <v>1144</v>
      </c>
      <c r="AA10" s="618"/>
      <c r="AB10" s="618"/>
      <c r="AC10" s="618"/>
      <c r="AD10" s="189"/>
    </row>
    <row r="11" spans="1:30" ht="14.25">
      <c r="A11" s="654" t="s">
        <v>1145</v>
      </c>
      <c r="B11" s="654"/>
      <c r="C11" s="654"/>
      <c r="D11" s="654"/>
      <c r="E11" s="654"/>
      <c r="F11" s="654"/>
      <c r="G11" s="654"/>
      <c r="H11" s="177"/>
      <c r="I11" s="177"/>
      <c r="J11" s="653" t="s">
        <v>1146</v>
      </c>
      <c r="K11" s="653"/>
      <c r="L11" s="653"/>
      <c r="M11" s="653"/>
      <c r="N11" s="653"/>
      <c r="O11" s="649" t="s">
        <v>1147</v>
      </c>
      <c r="P11" s="649"/>
      <c r="Q11" s="649"/>
      <c r="R11" s="651" t="s">
        <v>1131</v>
      </c>
      <c r="S11" s="651"/>
      <c r="T11" s="651"/>
      <c r="U11" s="650"/>
      <c r="V11" s="189"/>
      <c r="W11" s="647" t="s">
        <v>1148</v>
      </c>
      <c r="X11" s="646"/>
      <c r="Y11" s="648"/>
      <c r="Z11" s="618" t="s">
        <v>1149</v>
      </c>
      <c r="AA11" s="618"/>
      <c r="AB11" s="618"/>
      <c r="AC11" s="618"/>
      <c r="AD11" s="189"/>
    </row>
    <row r="12" spans="1:30" ht="14.25">
      <c r="A12" s="654" t="s">
        <v>1150</v>
      </c>
      <c r="B12" s="654"/>
      <c r="C12" s="654"/>
      <c r="D12" s="654"/>
      <c r="E12" s="654"/>
      <c r="F12" s="654"/>
      <c r="G12" s="654"/>
      <c r="H12" s="177"/>
      <c r="I12" s="177"/>
      <c r="J12" s="653"/>
      <c r="K12" s="653"/>
      <c r="L12" s="653"/>
      <c r="M12" s="653"/>
      <c r="N12" s="653"/>
      <c r="O12" s="649" t="s">
        <v>1151</v>
      </c>
      <c r="P12" s="649"/>
      <c r="Q12" s="649"/>
      <c r="R12" s="651" t="s">
        <v>1136</v>
      </c>
      <c r="S12" s="651"/>
      <c r="T12" s="651"/>
      <c r="U12" s="650"/>
      <c r="V12" s="189"/>
      <c r="W12" s="647" t="s">
        <v>1152</v>
      </c>
      <c r="X12" s="646"/>
      <c r="Y12" s="648"/>
      <c r="Z12" s="618" t="s">
        <v>1153</v>
      </c>
      <c r="AA12" s="618"/>
      <c r="AB12" s="618"/>
      <c r="AC12" s="618"/>
      <c r="AD12" s="189"/>
    </row>
    <row r="13" spans="1:30" ht="14.25">
      <c r="A13" s="654" t="s">
        <v>1154</v>
      </c>
      <c r="B13" s="654"/>
      <c r="C13" s="654"/>
      <c r="D13" s="654"/>
      <c r="E13" s="654"/>
      <c r="F13" s="654"/>
      <c r="G13" s="654"/>
      <c r="H13" s="177"/>
      <c r="I13" s="177"/>
      <c r="J13" s="653" t="s">
        <v>1155</v>
      </c>
      <c r="K13" s="653"/>
      <c r="L13" s="653"/>
      <c r="M13" s="653"/>
      <c r="N13" s="653"/>
      <c r="O13" s="649" t="s">
        <v>1156</v>
      </c>
      <c r="P13" s="649"/>
      <c r="Q13" s="649"/>
      <c r="R13" s="658" t="s">
        <v>1131</v>
      </c>
      <c r="S13" s="659"/>
      <c r="T13" s="659"/>
      <c r="U13" s="660"/>
      <c r="V13" s="189"/>
      <c r="W13" s="647" t="s">
        <v>1157</v>
      </c>
      <c r="X13" s="646"/>
      <c r="Y13" s="648"/>
      <c r="Z13" s="618" t="s">
        <v>1158</v>
      </c>
      <c r="AA13" s="618"/>
      <c r="AB13" s="618"/>
      <c r="AC13" s="618"/>
      <c r="AD13" s="189"/>
    </row>
    <row r="14" spans="1:30" ht="17.25">
      <c r="A14" s="177"/>
      <c r="B14" s="177"/>
      <c r="C14" s="177"/>
      <c r="D14" s="177"/>
      <c r="E14" s="185"/>
      <c r="F14" s="177"/>
      <c r="G14" s="177"/>
      <c r="H14" s="177"/>
      <c r="I14" s="177"/>
      <c r="J14" s="174"/>
      <c r="K14" s="174"/>
      <c r="L14" s="174"/>
      <c r="M14" s="174"/>
      <c r="N14" s="174"/>
      <c r="O14" s="649" t="s">
        <v>1159</v>
      </c>
      <c r="P14" s="649"/>
      <c r="Q14" s="649"/>
      <c r="R14" s="651" t="s">
        <v>1136</v>
      </c>
      <c r="S14" s="651"/>
      <c r="T14" s="651"/>
      <c r="U14" s="650"/>
      <c r="V14" s="189"/>
      <c r="W14" s="647" t="s">
        <v>1160</v>
      </c>
      <c r="X14" s="646"/>
      <c r="Y14" s="648"/>
      <c r="Z14" s="661" t="s">
        <v>1161</v>
      </c>
      <c r="AA14" s="662"/>
      <c r="AB14" s="662"/>
      <c r="AC14" s="663"/>
      <c r="AD14" s="189"/>
    </row>
    <row r="15" spans="1:30" ht="19.5" customHeight="1">
      <c r="A15" s="630" t="s">
        <v>1162</v>
      </c>
      <c r="B15" s="630"/>
      <c r="C15" s="630"/>
      <c r="D15" s="618"/>
      <c r="E15" s="618"/>
      <c r="F15" s="618"/>
      <c r="G15" s="618"/>
      <c r="H15" s="174"/>
      <c r="I15" s="174"/>
      <c r="J15" s="647" t="s">
        <v>1163</v>
      </c>
      <c r="K15" s="648"/>
      <c r="L15" s="657"/>
      <c r="M15" s="648"/>
      <c r="N15" s="174"/>
      <c r="O15" s="649" t="s">
        <v>1164</v>
      </c>
      <c r="P15" s="649"/>
      <c r="Q15" s="649"/>
      <c r="R15" s="655" t="s">
        <v>1142</v>
      </c>
      <c r="S15" s="655"/>
      <c r="T15" s="655"/>
      <c r="U15" s="656"/>
      <c r="V15" s="189">
        <v>28400</v>
      </c>
      <c r="W15" s="647" t="s">
        <v>1165</v>
      </c>
      <c r="X15" s="646"/>
      <c r="Y15" s="648"/>
      <c r="Z15" s="661" t="s">
        <v>1166</v>
      </c>
      <c r="AA15" s="662"/>
      <c r="AB15" s="662"/>
      <c r="AC15" s="663"/>
      <c r="AD15" s="189"/>
    </row>
    <row r="16" spans="1:30" ht="14.25">
      <c r="A16" s="177"/>
      <c r="B16" s="177"/>
      <c r="C16" s="177"/>
      <c r="D16" s="177"/>
      <c r="E16" s="177"/>
      <c r="F16" s="177"/>
      <c r="G16" s="177"/>
      <c r="H16" s="177"/>
      <c r="I16" s="177"/>
      <c r="J16" s="177"/>
      <c r="K16" s="177"/>
      <c r="L16" s="177"/>
      <c r="M16" s="177"/>
      <c r="N16" s="177"/>
      <c r="O16" s="649" t="s">
        <v>1167</v>
      </c>
      <c r="P16" s="649"/>
      <c r="Q16" s="649"/>
      <c r="R16" s="651" t="s">
        <v>1131</v>
      </c>
      <c r="S16" s="651"/>
      <c r="T16" s="651"/>
      <c r="U16" s="618"/>
      <c r="V16" s="189"/>
      <c r="W16" s="647" t="s">
        <v>1168</v>
      </c>
      <c r="X16" s="646"/>
      <c r="Y16" s="648"/>
      <c r="Z16" s="650" t="s">
        <v>1169</v>
      </c>
      <c r="AA16" s="650"/>
      <c r="AB16" s="650"/>
      <c r="AC16" s="650"/>
      <c r="AD16" s="189"/>
    </row>
    <row r="17" spans="1:30" ht="14.25">
      <c r="A17" s="630" t="s">
        <v>1170</v>
      </c>
      <c r="B17" s="630"/>
      <c r="C17" s="630"/>
      <c r="D17" s="630" t="s">
        <v>1171</v>
      </c>
      <c r="E17" s="630"/>
      <c r="F17" s="630"/>
      <c r="G17" s="630"/>
      <c r="H17" s="176" t="s">
        <v>545</v>
      </c>
      <c r="I17" s="176" t="s">
        <v>1172</v>
      </c>
      <c r="J17" s="612"/>
      <c r="K17" s="612"/>
      <c r="L17" s="630" t="s">
        <v>1173</v>
      </c>
      <c r="M17" s="630"/>
      <c r="N17" s="630"/>
      <c r="O17" s="649" t="s">
        <v>1174</v>
      </c>
      <c r="P17" s="649"/>
      <c r="Q17" s="649"/>
      <c r="R17" s="651" t="s">
        <v>1136</v>
      </c>
      <c r="S17" s="651"/>
      <c r="T17" s="651"/>
      <c r="U17" s="618"/>
      <c r="V17" s="189"/>
      <c r="W17" s="630"/>
      <c r="X17" s="630"/>
      <c r="Y17" s="630"/>
      <c r="Z17" s="618" t="s">
        <v>1175</v>
      </c>
      <c r="AA17" s="618"/>
      <c r="AB17" s="618"/>
      <c r="AC17" s="618"/>
      <c r="AD17" s="189"/>
    </row>
    <row r="18" spans="1:30" ht="21.75" customHeight="1">
      <c r="A18" s="649"/>
      <c r="B18" s="649"/>
      <c r="C18" s="618"/>
      <c r="D18" s="650"/>
      <c r="E18" s="650"/>
      <c r="F18" s="650"/>
      <c r="G18" s="650"/>
      <c r="H18" s="194"/>
      <c r="I18" s="179"/>
      <c r="J18" s="664"/>
      <c r="K18" s="665"/>
      <c r="L18" s="666"/>
      <c r="M18" s="667"/>
      <c r="N18" s="668"/>
      <c r="O18" s="649" t="s">
        <v>1176</v>
      </c>
      <c r="P18" s="649"/>
      <c r="Q18" s="649"/>
      <c r="R18" s="651" t="s">
        <v>1136</v>
      </c>
      <c r="S18" s="618"/>
      <c r="T18" s="618"/>
      <c r="U18" s="618"/>
      <c r="V18" s="189"/>
      <c r="W18" s="556" t="s">
        <v>1177</v>
      </c>
      <c r="X18" s="556"/>
      <c r="Y18" s="556"/>
      <c r="Z18" s="669" t="s">
        <v>1178</v>
      </c>
      <c r="AA18" s="669"/>
      <c r="AB18" s="669"/>
      <c r="AC18" s="669"/>
      <c r="AD18" s="189"/>
    </row>
    <row r="19" spans="1:30" ht="21.75" customHeight="1">
      <c r="A19" s="630"/>
      <c r="B19" s="630"/>
      <c r="C19" s="630"/>
      <c r="D19" s="618"/>
      <c r="E19" s="618"/>
      <c r="F19" s="618"/>
      <c r="G19" s="618"/>
      <c r="H19" s="194"/>
      <c r="I19" s="179"/>
      <c r="J19" s="670"/>
      <c r="K19" s="670"/>
      <c r="L19" s="670"/>
      <c r="M19" s="670"/>
      <c r="N19" s="670"/>
      <c r="O19" s="649" t="s">
        <v>1179</v>
      </c>
      <c r="P19" s="649"/>
      <c r="Q19" s="649"/>
      <c r="R19" s="651" t="s">
        <v>1131</v>
      </c>
      <c r="S19" s="651"/>
      <c r="T19" s="651"/>
      <c r="U19" s="618"/>
      <c r="V19" s="189"/>
      <c r="W19" s="630" t="s">
        <v>1180</v>
      </c>
      <c r="X19" s="630"/>
      <c r="Y19" s="630"/>
      <c r="Z19" s="618" t="s">
        <v>1181</v>
      </c>
      <c r="AA19" s="618"/>
      <c r="AB19" s="618"/>
      <c r="AC19" s="618"/>
      <c r="AD19" s="189"/>
    </row>
    <row r="20" spans="1:30" ht="21.75" customHeight="1">
      <c r="A20" s="630"/>
      <c r="B20" s="630"/>
      <c r="C20" s="630"/>
      <c r="D20" s="618"/>
      <c r="E20" s="618"/>
      <c r="F20" s="618"/>
      <c r="G20" s="618"/>
      <c r="H20" s="194"/>
      <c r="I20" s="179"/>
      <c r="J20" s="670"/>
      <c r="K20" s="670"/>
      <c r="L20" s="670"/>
      <c r="M20" s="670"/>
      <c r="N20" s="670"/>
      <c r="O20" s="649"/>
      <c r="P20" s="649"/>
      <c r="Q20" s="649"/>
      <c r="R20" s="651" t="s">
        <v>1182</v>
      </c>
      <c r="S20" s="651"/>
      <c r="T20" s="651"/>
      <c r="U20" s="618"/>
      <c r="V20" s="189"/>
      <c r="W20" s="647" t="s">
        <v>1157</v>
      </c>
      <c r="X20" s="646"/>
      <c r="Y20" s="648"/>
      <c r="Z20" s="618" t="s">
        <v>1183</v>
      </c>
      <c r="AA20" s="618"/>
      <c r="AB20" s="618"/>
      <c r="AC20" s="618"/>
      <c r="AD20" s="189"/>
    </row>
    <row r="21" spans="1:30" ht="21.75" customHeight="1">
      <c r="A21" s="630"/>
      <c r="B21" s="630"/>
      <c r="C21" s="630"/>
      <c r="D21" s="618"/>
      <c r="E21" s="618"/>
      <c r="F21" s="618"/>
      <c r="G21" s="618"/>
      <c r="H21" s="194"/>
      <c r="I21" s="179"/>
      <c r="J21" s="670"/>
      <c r="K21" s="670"/>
      <c r="L21" s="670"/>
      <c r="M21" s="670"/>
      <c r="N21" s="670"/>
      <c r="O21" s="649" t="s">
        <v>1184</v>
      </c>
      <c r="P21" s="649"/>
      <c r="Q21" s="649"/>
      <c r="R21" s="651" t="s">
        <v>1185</v>
      </c>
      <c r="S21" s="651"/>
      <c r="T21" s="651"/>
      <c r="U21" s="618"/>
      <c r="V21" s="189">
        <v>23000</v>
      </c>
      <c r="W21" s="630" t="s">
        <v>1186</v>
      </c>
      <c r="X21" s="630"/>
      <c r="Y21" s="630"/>
      <c r="Z21" s="655" t="s">
        <v>1187</v>
      </c>
      <c r="AA21" s="655"/>
      <c r="AB21" s="655"/>
      <c r="AC21" s="655"/>
      <c r="AD21" s="189"/>
    </row>
    <row r="22" spans="1:30" ht="21.75" customHeight="1">
      <c r="A22" s="630"/>
      <c r="B22" s="630"/>
      <c r="C22" s="630"/>
      <c r="D22" s="618"/>
      <c r="E22" s="618"/>
      <c r="F22" s="618"/>
      <c r="G22" s="618"/>
      <c r="H22" s="194"/>
      <c r="I22" s="179"/>
      <c r="J22" s="670"/>
      <c r="K22" s="670"/>
      <c r="L22" s="670"/>
      <c r="M22" s="670"/>
      <c r="N22" s="670"/>
      <c r="O22" s="649"/>
      <c r="P22" s="649"/>
      <c r="Q22" s="649"/>
      <c r="R22" s="651" t="s">
        <v>1188</v>
      </c>
      <c r="S22" s="651"/>
      <c r="T22" s="651"/>
      <c r="U22" s="618"/>
      <c r="V22" s="189"/>
      <c r="W22" s="649" t="s">
        <v>1189</v>
      </c>
      <c r="X22" s="649"/>
      <c r="Y22" s="649"/>
      <c r="Z22" s="658" t="s">
        <v>581</v>
      </c>
      <c r="AA22" s="671"/>
      <c r="AB22" s="671"/>
      <c r="AC22" s="660"/>
      <c r="AD22" s="189"/>
    </row>
    <row r="23" spans="1:30" ht="21.75" customHeight="1">
      <c r="A23" s="630"/>
      <c r="B23" s="630"/>
      <c r="C23" s="630"/>
      <c r="D23" s="618"/>
      <c r="E23" s="618"/>
      <c r="F23" s="618"/>
      <c r="G23" s="618"/>
      <c r="H23" s="194"/>
      <c r="I23" s="179"/>
      <c r="J23" s="670"/>
      <c r="K23" s="670"/>
      <c r="L23" s="670"/>
      <c r="M23" s="670"/>
      <c r="N23" s="670"/>
      <c r="O23" s="649"/>
      <c r="P23" s="649"/>
      <c r="Q23" s="649"/>
      <c r="R23" s="651" t="s">
        <v>1190</v>
      </c>
      <c r="S23" s="651"/>
      <c r="T23" s="651"/>
      <c r="U23" s="618"/>
      <c r="V23" s="189"/>
      <c r="W23" s="649" t="s">
        <v>1191</v>
      </c>
      <c r="X23" s="649"/>
      <c r="Y23" s="649"/>
      <c r="Z23" s="658" t="s">
        <v>581</v>
      </c>
      <c r="AA23" s="671"/>
      <c r="AB23" s="671"/>
      <c r="AC23" s="660"/>
      <c r="AD23" s="189"/>
    </row>
    <row r="24" spans="1:30" ht="21.75" customHeight="1">
      <c r="A24" s="630"/>
      <c r="B24" s="630"/>
      <c r="C24" s="630"/>
      <c r="D24" s="618"/>
      <c r="E24" s="618"/>
      <c r="F24" s="618"/>
      <c r="G24" s="618"/>
      <c r="H24" s="194"/>
      <c r="I24" s="179"/>
      <c r="J24" s="670"/>
      <c r="K24" s="670"/>
      <c r="L24" s="670"/>
      <c r="M24" s="670"/>
      <c r="N24" s="670"/>
      <c r="O24" s="666" t="s">
        <v>1192</v>
      </c>
      <c r="P24" s="667"/>
      <c r="Q24" s="668"/>
      <c r="R24" s="658" t="s">
        <v>1185</v>
      </c>
      <c r="S24" s="659"/>
      <c r="T24" s="659"/>
      <c r="U24" s="672"/>
      <c r="V24" s="189"/>
      <c r="W24" s="649"/>
      <c r="X24" s="649"/>
      <c r="Y24" s="649"/>
      <c r="Z24" s="658"/>
      <c r="AA24" s="671"/>
      <c r="AB24" s="671"/>
      <c r="AC24" s="660"/>
      <c r="AD24" s="189"/>
    </row>
    <row r="25" spans="1:30" ht="21.75" customHeight="1">
      <c r="A25" s="630"/>
      <c r="B25" s="630"/>
      <c r="C25" s="630"/>
      <c r="D25" s="618"/>
      <c r="E25" s="618"/>
      <c r="F25" s="618"/>
      <c r="G25" s="618"/>
      <c r="H25" s="194"/>
      <c r="I25" s="179"/>
      <c r="J25" s="670"/>
      <c r="K25" s="670"/>
      <c r="L25" s="670"/>
      <c r="M25" s="670"/>
      <c r="N25" s="670"/>
      <c r="O25" s="649" t="s">
        <v>1193</v>
      </c>
      <c r="P25" s="649"/>
      <c r="Q25" s="649"/>
      <c r="R25" s="651" t="s">
        <v>1194</v>
      </c>
      <c r="S25" s="651"/>
      <c r="T25" s="651"/>
      <c r="U25" s="618"/>
      <c r="V25" s="189"/>
      <c r="W25" s="649"/>
      <c r="X25" s="649"/>
      <c r="Y25" s="649"/>
      <c r="Z25" s="658"/>
      <c r="AA25" s="671"/>
      <c r="AB25" s="671"/>
      <c r="AC25" s="660"/>
      <c r="AD25" s="189"/>
    </row>
    <row r="26" spans="1:30" ht="21.75" customHeight="1">
      <c r="A26" s="630"/>
      <c r="B26" s="630"/>
      <c r="C26" s="630"/>
      <c r="D26" s="618"/>
      <c r="E26" s="618"/>
      <c r="F26" s="618"/>
      <c r="G26" s="618"/>
      <c r="H26" s="194"/>
      <c r="I26" s="179"/>
      <c r="J26" s="670"/>
      <c r="K26" s="670"/>
      <c r="L26" s="670"/>
      <c r="M26" s="670"/>
      <c r="N26" s="670"/>
      <c r="O26" s="649" t="s">
        <v>1195</v>
      </c>
      <c r="P26" s="649"/>
      <c r="Q26" s="649"/>
      <c r="R26" s="651" t="s">
        <v>1188</v>
      </c>
      <c r="S26" s="651"/>
      <c r="T26" s="651"/>
      <c r="U26" s="618"/>
      <c r="V26" s="189"/>
      <c r="W26" s="649"/>
      <c r="X26" s="649"/>
      <c r="Y26" s="649"/>
      <c r="Z26" s="658"/>
      <c r="AA26" s="671"/>
      <c r="AB26" s="671"/>
      <c r="AC26" s="660"/>
      <c r="AD26" s="195"/>
    </row>
    <row r="27" spans="1:30" ht="21.75" customHeight="1">
      <c r="A27" s="630"/>
      <c r="B27" s="630"/>
      <c r="C27" s="630"/>
      <c r="D27" s="618"/>
      <c r="E27" s="618"/>
      <c r="F27" s="618"/>
      <c r="G27" s="618"/>
      <c r="H27" s="194"/>
      <c r="I27" s="179"/>
      <c r="J27" s="670"/>
      <c r="K27" s="670"/>
      <c r="L27" s="670"/>
      <c r="M27" s="670"/>
      <c r="N27" s="670"/>
      <c r="O27" s="649" t="s">
        <v>1196</v>
      </c>
      <c r="P27" s="649"/>
      <c r="Q27" s="649"/>
      <c r="R27" s="651" t="s">
        <v>1197</v>
      </c>
      <c r="S27" s="651"/>
      <c r="T27" s="651"/>
      <c r="U27" s="618"/>
      <c r="V27" s="189"/>
      <c r="W27" s="195"/>
      <c r="X27" s="195"/>
      <c r="Y27" s="195"/>
      <c r="Z27" s="195"/>
      <c r="AA27" s="195"/>
      <c r="AB27" s="195"/>
      <c r="AC27" s="195"/>
      <c r="AD27" s="195"/>
    </row>
    <row r="28" spans="1:30" ht="21.75" customHeight="1">
      <c r="A28" s="630"/>
      <c r="B28" s="630"/>
      <c r="C28" s="630"/>
      <c r="D28" s="618"/>
      <c r="E28" s="618"/>
      <c r="F28" s="618"/>
      <c r="G28" s="618"/>
      <c r="H28" s="194"/>
      <c r="I28" s="179"/>
      <c r="J28" s="670"/>
      <c r="K28" s="670"/>
      <c r="L28" s="670"/>
      <c r="M28" s="670"/>
      <c r="N28" s="670"/>
      <c r="O28" s="649" t="s">
        <v>1198</v>
      </c>
      <c r="P28" s="649"/>
      <c r="Q28" s="649"/>
      <c r="R28" s="651" t="s">
        <v>1190</v>
      </c>
      <c r="S28" s="651"/>
      <c r="T28" s="651"/>
      <c r="U28" s="618"/>
      <c r="V28" s="189"/>
      <c r="W28" s="195"/>
      <c r="X28" s="195"/>
      <c r="Y28" s="195"/>
      <c r="Z28" s="195"/>
      <c r="AA28" s="195"/>
      <c r="AB28" s="195"/>
      <c r="AC28" s="195"/>
      <c r="AD28" s="195"/>
    </row>
    <row r="29" spans="1:30" ht="21.75" customHeight="1">
      <c r="A29" s="556"/>
      <c r="B29" s="556"/>
      <c r="C29" s="556"/>
      <c r="D29" s="567"/>
      <c r="E29" s="567"/>
      <c r="F29" s="567"/>
      <c r="G29" s="567"/>
      <c r="H29" s="184"/>
      <c r="I29" s="196"/>
      <c r="J29" s="563"/>
      <c r="K29" s="563"/>
      <c r="L29" s="563"/>
      <c r="M29" s="563"/>
      <c r="N29" s="563"/>
      <c r="O29" s="195"/>
      <c r="P29" s="195"/>
      <c r="Q29" s="195"/>
      <c r="R29" s="195"/>
      <c r="S29" s="195"/>
      <c r="T29" s="195"/>
      <c r="U29" s="195"/>
      <c r="V29" s="195"/>
      <c r="W29" s="195"/>
      <c r="X29" s="195"/>
      <c r="Y29" s="195"/>
      <c r="Z29" s="195"/>
      <c r="AA29" s="195"/>
      <c r="AB29" s="195"/>
      <c r="AC29" s="195"/>
      <c r="AD29" s="195"/>
    </row>
    <row r="30" spans="1:30" ht="21.75" customHeight="1">
      <c r="A30" s="556"/>
      <c r="B30" s="556"/>
      <c r="C30" s="556"/>
      <c r="D30" s="567"/>
      <c r="E30" s="567"/>
      <c r="F30" s="567"/>
      <c r="G30" s="567"/>
      <c r="H30" s="184"/>
      <c r="I30" s="181"/>
      <c r="J30" s="563"/>
      <c r="K30" s="563"/>
      <c r="L30" s="563"/>
      <c r="M30" s="563"/>
      <c r="N30" s="563"/>
      <c r="O30" s="195"/>
      <c r="P30" s="195"/>
      <c r="Q30" s="195"/>
      <c r="R30" s="195"/>
      <c r="S30" s="195"/>
      <c r="T30" s="195"/>
      <c r="U30" s="195"/>
      <c r="V30" s="195"/>
      <c r="W30" s="195"/>
      <c r="X30" s="195"/>
      <c r="Y30" s="195"/>
      <c r="Z30" s="195"/>
      <c r="AA30" s="195"/>
      <c r="AB30" s="195"/>
      <c r="AC30" s="195"/>
      <c r="AD30" s="195"/>
    </row>
    <row r="31" spans="1:30" ht="21.75" customHeight="1">
      <c r="A31" s="556"/>
      <c r="B31" s="556"/>
      <c r="C31" s="556"/>
      <c r="D31" s="567"/>
      <c r="E31" s="567"/>
      <c r="F31" s="567"/>
      <c r="G31" s="567"/>
      <c r="H31" s="184"/>
      <c r="I31" s="181"/>
      <c r="J31" s="563"/>
      <c r="K31" s="563"/>
      <c r="L31" s="563"/>
      <c r="M31" s="563"/>
      <c r="N31" s="563"/>
      <c r="O31" s="195"/>
      <c r="P31" s="195"/>
      <c r="Q31" s="195"/>
      <c r="R31" s="195"/>
      <c r="S31" s="195"/>
      <c r="T31" s="195"/>
      <c r="U31" s="195"/>
      <c r="V31" s="195"/>
      <c r="W31" s="195"/>
      <c r="X31" s="195"/>
      <c r="Y31" s="195"/>
      <c r="Z31" s="195"/>
      <c r="AA31" s="195"/>
      <c r="AB31" s="195"/>
      <c r="AC31" s="195"/>
      <c r="AD31" s="195"/>
    </row>
    <row r="32" spans="1:30" ht="21.75" customHeight="1">
      <c r="A32" s="556"/>
      <c r="B32" s="556"/>
      <c r="C32" s="556"/>
      <c r="D32" s="567"/>
      <c r="E32" s="567"/>
      <c r="F32" s="567"/>
      <c r="G32" s="567"/>
      <c r="H32" s="181"/>
      <c r="I32" s="181"/>
      <c r="J32" s="563"/>
      <c r="K32" s="563"/>
      <c r="L32" s="563"/>
      <c r="M32" s="563"/>
      <c r="N32" s="563"/>
      <c r="O32" s="195"/>
      <c r="P32" s="195"/>
      <c r="Q32" s="195"/>
      <c r="R32" s="195"/>
      <c r="S32" s="195"/>
      <c r="T32" s="195"/>
      <c r="U32" s="195"/>
      <c r="V32" s="195"/>
      <c r="W32" s="195"/>
      <c r="X32" s="195"/>
      <c r="Y32" s="195"/>
      <c r="Z32" s="195"/>
      <c r="AA32" s="195"/>
      <c r="AB32" s="195"/>
      <c r="AC32" s="195"/>
      <c r="AD32" s="195"/>
    </row>
    <row r="33" spans="1:30" ht="21.75" customHeight="1">
      <c r="A33" s="556"/>
      <c r="B33" s="556"/>
      <c r="C33" s="556"/>
      <c r="D33" s="567"/>
      <c r="E33" s="567"/>
      <c r="F33" s="567"/>
      <c r="G33" s="567"/>
      <c r="H33" s="181"/>
      <c r="I33" s="181"/>
      <c r="J33" s="563"/>
      <c r="K33" s="563"/>
      <c r="L33" s="563"/>
      <c r="M33" s="563"/>
      <c r="N33" s="563"/>
      <c r="O33" s="197"/>
      <c r="P33" s="197"/>
      <c r="Q33" s="197"/>
      <c r="R33" s="197"/>
      <c r="S33" s="197"/>
      <c r="T33" s="197"/>
      <c r="U33" s="197"/>
      <c r="V33" s="195"/>
      <c r="W33" s="195"/>
      <c r="X33" s="195"/>
      <c r="Y33" s="195"/>
      <c r="Z33" s="195"/>
      <c r="AA33" s="195"/>
      <c r="AB33" s="195"/>
      <c r="AC33" s="195"/>
      <c r="AD33" s="195"/>
    </row>
    <row r="34" spans="1:30" ht="21.75" customHeight="1">
      <c r="A34" s="556"/>
      <c r="B34" s="556"/>
      <c r="C34" s="556"/>
      <c r="D34" s="567"/>
      <c r="E34" s="567"/>
      <c r="F34" s="567"/>
      <c r="G34" s="567"/>
      <c r="H34" s="181"/>
      <c r="I34" s="181"/>
      <c r="J34" s="563"/>
      <c r="K34" s="563"/>
      <c r="L34" s="563"/>
      <c r="M34" s="563"/>
      <c r="N34" s="563"/>
      <c r="O34" s="197"/>
      <c r="P34" s="197"/>
      <c r="Q34" s="197"/>
      <c r="R34" s="197"/>
      <c r="S34" s="197"/>
      <c r="T34" s="197"/>
      <c r="U34" s="197"/>
      <c r="V34" s="195"/>
      <c r="W34" s="195"/>
      <c r="X34" s="195"/>
      <c r="Y34" s="195"/>
      <c r="Z34" s="195"/>
      <c r="AA34" s="195"/>
      <c r="AB34" s="195"/>
      <c r="AC34" s="195"/>
      <c r="AD34" s="195"/>
    </row>
    <row r="35" spans="1:30" ht="21.75" customHeight="1">
      <c r="A35" s="556"/>
      <c r="B35" s="556"/>
      <c r="C35" s="556"/>
      <c r="D35" s="567"/>
      <c r="E35" s="567"/>
      <c r="F35" s="567"/>
      <c r="G35" s="567"/>
      <c r="H35" s="181"/>
      <c r="I35" s="196" t="s">
        <v>1199</v>
      </c>
      <c r="J35" s="563"/>
      <c r="K35" s="563"/>
      <c r="L35" s="563"/>
      <c r="M35" s="563"/>
      <c r="N35" s="563"/>
      <c r="O35" s="589"/>
      <c r="P35" s="589"/>
      <c r="Q35" s="589"/>
      <c r="R35" s="589"/>
      <c r="S35" s="589"/>
      <c r="T35" s="198"/>
      <c r="U35" s="197"/>
      <c r="V35" s="195"/>
      <c r="W35" s="195"/>
      <c r="X35" s="195"/>
      <c r="Y35" s="195"/>
      <c r="Z35" s="195"/>
      <c r="AA35" s="195"/>
      <c r="AB35" s="195"/>
      <c r="AC35" s="195"/>
      <c r="AD35" s="195"/>
    </row>
    <row r="36" spans="1:30" ht="21">
      <c r="A36" s="588" t="s">
        <v>1200</v>
      </c>
      <c r="B36" s="588"/>
      <c r="C36" s="183"/>
      <c r="D36" s="183"/>
      <c r="E36" s="199"/>
      <c r="F36" s="183"/>
      <c r="G36" s="183"/>
      <c r="H36" s="183"/>
      <c r="I36" s="183"/>
      <c r="J36" s="197"/>
      <c r="K36" s="197"/>
      <c r="L36" s="197"/>
      <c r="M36" s="197"/>
      <c r="N36" s="197"/>
      <c r="O36" s="197"/>
      <c r="P36" s="197"/>
      <c r="Q36" s="197"/>
      <c r="R36" s="197"/>
      <c r="S36" s="197"/>
      <c r="T36" s="197"/>
      <c r="U36" s="197"/>
      <c r="V36" s="195"/>
      <c r="W36" s="195"/>
      <c r="X36" s="195"/>
      <c r="Y36" s="195"/>
      <c r="Z36" s="195"/>
      <c r="AA36" s="195"/>
      <c r="AB36" s="195"/>
      <c r="AC36" s="195"/>
      <c r="AD36" s="195"/>
    </row>
    <row r="37" spans="1:30" ht="18.75">
      <c r="A37" s="183"/>
      <c r="B37" s="183"/>
      <c r="C37" s="183"/>
      <c r="D37" s="183"/>
      <c r="E37" s="199"/>
      <c r="F37" s="183"/>
      <c r="G37" s="183"/>
      <c r="H37" s="183"/>
      <c r="I37" s="183"/>
      <c r="J37" s="200"/>
      <c r="K37" s="178" t="s">
        <v>1201</v>
      </c>
      <c r="L37" s="673"/>
      <c r="M37" s="673"/>
      <c r="N37" s="673"/>
      <c r="O37" s="200"/>
      <c r="P37" s="200"/>
      <c r="Q37" s="200"/>
      <c r="R37" s="200"/>
      <c r="S37" s="200"/>
      <c r="T37" s="200"/>
      <c r="U37" s="200"/>
      <c r="V37" s="201"/>
      <c r="W37" s="201"/>
      <c r="X37" s="201"/>
      <c r="Y37" s="201"/>
      <c r="Z37" s="201"/>
      <c r="AA37" s="201"/>
      <c r="AB37" s="201"/>
      <c r="AC37" s="201"/>
      <c r="AD37" s="201"/>
    </row>
    <row r="38" spans="1:30" ht="17.25">
      <c r="A38" s="183"/>
      <c r="B38" s="183"/>
      <c r="C38" s="183"/>
      <c r="D38" s="183"/>
      <c r="E38" s="199"/>
      <c r="F38" s="183"/>
      <c r="G38" s="183"/>
      <c r="H38" s="183"/>
      <c r="I38" s="183"/>
      <c r="J38" s="180"/>
      <c r="K38" s="180"/>
      <c r="L38" s="180"/>
      <c r="M38" s="180"/>
      <c r="N38" s="180"/>
      <c r="O38" s="180"/>
      <c r="P38" s="180"/>
      <c r="Q38" s="180"/>
      <c r="R38" s="180"/>
      <c r="S38" s="180"/>
      <c r="T38" s="180"/>
      <c r="U38" s="180"/>
      <c r="V38" s="106"/>
      <c r="W38" s="106"/>
      <c r="X38" s="106"/>
      <c r="Y38" s="106"/>
      <c r="Z38" s="106"/>
      <c r="AA38" s="106"/>
      <c r="AB38" s="106"/>
      <c r="AC38" s="106"/>
      <c r="AD38" s="106"/>
    </row>
  </sheetData>
  <mergeCells count="203">
    <mergeCell ref="A36:B36"/>
    <mergeCell ref="L37:N37"/>
    <mergeCell ref="A35:C35"/>
    <mergeCell ref="D35:G35"/>
    <mergeCell ref="J35:K35"/>
    <mergeCell ref="L35:N35"/>
    <mergeCell ref="O35:P35"/>
    <mergeCell ref="Q35:S35"/>
    <mergeCell ref="A33:C33"/>
    <mergeCell ref="D33:G33"/>
    <mergeCell ref="J33:K33"/>
    <mergeCell ref="L33:N33"/>
    <mergeCell ref="A34:C34"/>
    <mergeCell ref="D34:G34"/>
    <mergeCell ref="J34:K34"/>
    <mergeCell ref="L34:N34"/>
    <mergeCell ref="A31:C31"/>
    <mergeCell ref="D31:G31"/>
    <mergeCell ref="J31:K31"/>
    <mergeCell ref="L31:N31"/>
    <mergeCell ref="A32:C32"/>
    <mergeCell ref="D32:G32"/>
    <mergeCell ref="J32:K32"/>
    <mergeCell ref="L32:N32"/>
    <mergeCell ref="A29:C29"/>
    <mergeCell ref="D29:G29"/>
    <mergeCell ref="J29:K29"/>
    <mergeCell ref="L29:N29"/>
    <mergeCell ref="A30:C30"/>
    <mergeCell ref="D30:G30"/>
    <mergeCell ref="J30:K30"/>
    <mergeCell ref="L30:N30"/>
    <mergeCell ref="A28:C28"/>
    <mergeCell ref="D28:G28"/>
    <mergeCell ref="J28:K28"/>
    <mergeCell ref="L28:N28"/>
    <mergeCell ref="O28:Q28"/>
    <mergeCell ref="R28:U28"/>
    <mergeCell ref="A27:C27"/>
    <mergeCell ref="D27:G27"/>
    <mergeCell ref="J27:K27"/>
    <mergeCell ref="L27:N27"/>
    <mergeCell ref="O27:Q27"/>
    <mergeCell ref="R27:U27"/>
    <mergeCell ref="W25:Y25"/>
    <mergeCell ref="Z25:AC25"/>
    <mergeCell ref="A26:C26"/>
    <mergeCell ref="D26:G26"/>
    <mergeCell ref="J26:K26"/>
    <mergeCell ref="L26:N26"/>
    <mergeCell ref="O26:Q26"/>
    <mergeCell ref="R26:U26"/>
    <mergeCell ref="W26:Y26"/>
    <mergeCell ref="Z26:AC26"/>
    <mergeCell ref="A25:C25"/>
    <mergeCell ref="D25:G25"/>
    <mergeCell ref="J25:K25"/>
    <mergeCell ref="L25:N25"/>
    <mergeCell ref="O25:Q25"/>
    <mergeCell ref="R25:U25"/>
    <mergeCell ref="W23:Y23"/>
    <mergeCell ref="Z23:AC23"/>
    <mergeCell ref="A24:C24"/>
    <mergeCell ref="D24:G24"/>
    <mergeCell ref="J24:K24"/>
    <mergeCell ref="L24:N24"/>
    <mergeCell ref="O24:Q24"/>
    <mergeCell ref="R24:U24"/>
    <mergeCell ref="W24:Y24"/>
    <mergeCell ref="Z24:AC24"/>
    <mergeCell ref="A23:C23"/>
    <mergeCell ref="D23:G23"/>
    <mergeCell ref="J23:K23"/>
    <mergeCell ref="L23:N23"/>
    <mergeCell ref="O23:Q23"/>
    <mergeCell ref="R23:U23"/>
    <mergeCell ref="W21:Y21"/>
    <mergeCell ref="Z21:AC21"/>
    <mergeCell ref="A22:C22"/>
    <mergeCell ref="D22:G22"/>
    <mergeCell ref="J22:K22"/>
    <mergeCell ref="L22:N22"/>
    <mergeCell ref="O22:Q22"/>
    <mergeCell ref="R22:U22"/>
    <mergeCell ref="W22:Y22"/>
    <mergeCell ref="Z22:AC22"/>
    <mergeCell ref="A21:C21"/>
    <mergeCell ref="D21:G21"/>
    <mergeCell ref="J21:K21"/>
    <mergeCell ref="L21:N21"/>
    <mergeCell ref="O21:Q21"/>
    <mergeCell ref="R21:U21"/>
    <mergeCell ref="W19:Y19"/>
    <mergeCell ref="Z19:AC19"/>
    <mergeCell ref="A20:C20"/>
    <mergeCell ref="D20:G20"/>
    <mergeCell ref="J20:K20"/>
    <mergeCell ref="L20:N20"/>
    <mergeCell ref="O20:Q20"/>
    <mergeCell ref="R20:U20"/>
    <mergeCell ref="W20:Y20"/>
    <mergeCell ref="Z20:AC20"/>
    <mergeCell ref="A19:C19"/>
    <mergeCell ref="D19:G19"/>
    <mergeCell ref="J19:K19"/>
    <mergeCell ref="L19:N19"/>
    <mergeCell ref="O19:Q19"/>
    <mergeCell ref="R19:U19"/>
    <mergeCell ref="W17:Y17"/>
    <mergeCell ref="Z17:AC17"/>
    <mergeCell ref="A18:C18"/>
    <mergeCell ref="D18:G18"/>
    <mergeCell ref="J18:K18"/>
    <mergeCell ref="L18:N18"/>
    <mergeCell ref="O18:Q18"/>
    <mergeCell ref="R18:U18"/>
    <mergeCell ref="W18:Y18"/>
    <mergeCell ref="Z18:AC18"/>
    <mergeCell ref="A17:C17"/>
    <mergeCell ref="D17:G17"/>
    <mergeCell ref="J17:K17"/>
    <mergeCell ref="L17:N17"/>
    <mergeCell ref="O17:Q17"/>
    <mergeCell ref="R17:U17"/>
    <mergeCell ref="W15:Y15"/>
    <mergeCell ref="Z15:AC15"/>
    <mergeCell ref="O16:Q16"/>
    <mergeCell ref="R16:U16"/>
    <mergeCell ref="W16:Y16"/>
    <mergeCell ref="Z16:AC16"/>
    <mergeCell ref="O14:Q14"/>
    <mergeCell ref="R14:U14"/>
    <mergeCell ref="W14:Y14"/>
    <mergeCell ref="Z14:AC14"/>
    <mergeCell ref="A15:C15"/>
    <mergeCell ref="D15:G15"/>
    <mergeCell ref="J15:K15"/>
    <mergeCell ref="L15:M15"/>
    <mergeCell ref="O15:Q15"/>
    <mergeCell ref="R15:U15"/>
    <mergeCell ref="A13:G13"/>
    <mergeCell ref="J13:N13"/>
    <mergeCell ref="O13:Q13"/>
    <mergeCell ref="R13:U13"/>
    <mergeCell ref="W13:Y13"/>
    <mergeCell ref="Z13:AC13"/>
    <mergeCell ref="A12:G12"/>
    <mergeCell ref="J12:N12"/>
    <mergeCell ref="O12:Q12"/>
    <mergeCell ref="R12:U12"/>
    <mergeCell ref="W12:Y12"/>
    <mergeCell ref="Z12:AC12"/>
    <mergeCell ref="Z10:AC10"/>
    <mergeCell ref="A11:G11"/>
    <mergeCell ref="J11:N11"/>
    <mergeCell ref="O11:Q11"/>
    <mergeCell ref="R11:U11"/>
    <mergeCell ref="W11:Y11"/>
    <mergeCell ref="Z11:AC11"/>
    <mergeCell ref="J9:N9"/>
    <mergeCell ref="O9:Q9"/>
    <mergeCell ref="R9:U9"/>
    <mergeCell ref="W9:Y9"/>
    <mergeCell ref="Z9:AC9"/>
    <mergeCell ref="A10:G10"/>
    <mergeCell ref="J10:N10"/>
    <mergeCell ref="O10:Q10"/>
    <mergeCell ref="R10:U10"/>
    <mergeCell ref="W10:Y10"/>
    <mergeCell ref="A5:D5"/>
    <mergeCell ref="O5:Q5"/>
    <mergeCell ref="R5:U5"/>
    <mergeCell ref="W5:Y5"/>
    <mergeCell ref="Z5:AC5"/>
    <mergeCell ref="Z7:AC7"/>
    <mergeCell ref="E8:F8"/>
    <mergeCell ref="J8:N8"/>
    <mergeCell ref="O8:Q8"/>
    <mergeCell ref="R8:U8"/>
    <mergeCell ref="W8:Y8"/>
    <mergeCell ref="Z8:AC8"/>
    <mergeCell ref="J6:N6"/>
    <mergeCell ref="O6:Q6"/>
    <mergeCell ref="R6:U6"/>
    <mergeCell ref="W6:Y6"/>
    <mergeCell ref="Z6:AC6"/>
    <mergeCell ref="B7:F7"/>
    <mergeCell ref="J7:N7"/>
    <mergeCell ref="O7:Q7"/>
    <mergeCell ref="R7:U7"/>
    <mergeCell ref="W7:Y7"/>
    <mergeCell ref="A1:N1"/>
    <mergeCell ref="Q1:U1"/>
    <mergeCell ref="V1:W1"/>
    <mergeCell ref="Q2:U2"/>
    <mergeCell ref="V2:W2"/>
    <mergeCell ref="J3:N3"/>
    <mergeCell ref="W3:Y3"/>
    <mergeCell ref="Z3:AC3"/>
    <mergeCell ref="O4:Q4"/>
    <mergeCell ref="R4:U4"/>
    <mergeCell ref="W4:Y4"/>
    <mergeCell ref="Z4:AC4"/>
  </mergeCells>
  <phoneticPr fontId="1"/>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A42C7-FD94-4B23-84B8-BE7345496E62}">
  <dimension ref="A1:L6"/>
  <sheetViews>
    <sheetView workbookViewId="0">
      <selection activeCell="D11" sqref="D11"/>
    </sheetView>
  </sheetViews>
  <sheetFormatPr defaultRowHeight="13.5"/>
  <sheetData>
    <row r="1" spans="1:12" ht="19.5" customHeight="1">
      <c r="A1" s="371"/>
      <c r="B1" s="371"/>
      <c r="C1" s="371"/>
      <c r="D1" s="371"/>
      <c r="E1" s="371"/>
      <c r="F1" s="371"/>
      <c r="G1" s="371"/>
      <c r="H1" s="371"/>
      <c r="I1" s="371"/>
      <c r="J1" s="371"/>
      <c r="K1" s="371"/>
      <c r="L1" s="371"/>
    </row>
    <row r="2" spans="1:12" ht="17.25" customHeight="1">
      <c r="A2" s="371"/>
      <c r="B2" s="371"/>
      <c r="C2" s="371"/>
      <c r="D2" s="371"/>
      <c r="E2" s="371"/>
      <c r="F2" s="371"/>
      <c r="G2" s="371"/>
      <c r="H2" s="371"/>
      <c r="I2" s="371"/>
      <c r="J2" s="371"/>
      <c r="K2" s="371"/>
      <c r="L2" s="371"/>
    </row>
    <row r="3" spans="1:12" ht="21.75" customHeight="1">
      <c r="A3" s="371"/>
      <c r="B3" s="371"/>
      <c r="C3" s="371"/>
      <c r="D3" s="371"/>
      <c r="E3" s="371"/>
      <c r="F3" s="371"/>
      <c r="G3" s="371"/>
      <c r="H3" s="371"/>
      <c r="I3" s="371"/>
      <c r="J3" s="371"/>
      <c r="K3" s="371"/>
      <c r="L3" s="371"/>
    </row>
    <row r="6" spans="1:12">
      <c r="C6" s="250"/>
    </row>
  </sheetData>
  <mergeCells count="3">
    <mergeCell ref="A1:L1"/>
    <mergeCell ref="A2:L2"/>
    <mergeCell ref="A3:L3"/>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9</vt:i4>
      </vt:variant>
    </vt:vector>
  </HeadingPairs>
  <TitlesOfParts>
    <vt:vector size="19" baseType="lpstr">
      <vt:lpstr>修　理</vt:lpstr>
      <vt:lpstr>手配書</vt:lpstr>
      <vt:lpstr>指示書</vt:lpstr>
      <vt:lpstr>修理１</vt:lpstr>
      <vt:lpstr>手配書1</vt:lpstr>
      <vt:lpstr>指示書1</vt:lpstr>
      <vt:lpstr>新規</vt:lpstr>
      <vt:lpstr>アイメイ</vt:lpstr>
      <vt:lpstr>豊和発注書</vt:lpstr>
      <vt:lpstr>メモ書き</vt:lpstr>
      <vt:lpstr>アイメイ!Print_Area</vt:lpstr>
      <vt:lpstr>指示書!Print_Area</vt:lpstr>
      <vt:lpstr>指示書1!Print_Area</vt:lpstr>
      <vt:lpstr>手配書!Print_Area</vt:lpstr>
      <vt:lpstr>手配書1!Print_Area</vt:lpstr>
      <vt:lpstr>'修　理'!Print_Area</vt:lpstr>
      <vt:lpstr>修理１!Print_Area</vt:lpstr>
      <vt:lpstr>新規!Print_Area</vt:lpstr>
      <vt:lpstr>豊和発注書!Print_Area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chubu-note</dc:creator>
  <cp:lastModifiedBy>裕樹 一栁</cp:lastModifiedBy>
  <cp:lastPrinted>2025-10-16T23:57:20Z</cp:lastPrinted>
  <dcterms:created xsi:type="dcterms:W3CDTF">2011-09-08T05:01:40Z</dcterms:created>
  <dcterms:modified xsi:type="dcterms:W3CDTF">2026-07-01T07:18:54Z</dcterms:modified>
</cp:coreProperties>
</file>